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85" documentId="13_ncr:1_{6F54682B-DFB0-4BA0-8439-62835074587D}" xr6:coauthVersionLast="47" xr6:coauthVersionMax="47" xr10:uidLastSave="{691F97B0-DA82-4F7A-8136-BBB5A24B5855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1" l="1"/>
  <c r="P2" i="1"/>
  <c r="O2" i="1"/>
  <c r="N1" i="1"/>
  <c r="M1" i="1"/>
</calcChain>
</file>

<file path=xl/sharedStrings.xml><?xml version="1.0" encoding="utf-8"?>
<sst xmlns="http://schemas.openxmlformats.org/spreadsheetml/2006/main" count="51" uniqueCount="51">
  <si>
    <t>NOME:</t>
  </si>
  <si>
    <t>VANESSA VIEIRA CRUZ VEGE</t>
  </si>
  <si>
    <t>FI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</si>
  <si>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</si>
  <si>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</si>
  <si>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</si>
  <si>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</si>
  <si>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</si>
  <si>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</si>
  <si>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</si>
  <si>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</si>
  <si>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</si>
  <si>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</si>
  <si>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 / TELEFONE</t>
  </si>
  <si>
    <t>USG</t>
  </si>
  <si>
    <t>33.1</t>
  </si>
  <si>
    <t>33.2</t>
  </si>
  <si>
    <t>33.3</t>
  </si>
  <si>
    <t>33.4</t>
  </si>
  <si>
    <t>33.5</t>
  </si>
  <si>
    <t>33.6</t>
  </si>
  <si>
    <t>33.7</t>
  </si>
  <si>
    <t>34.0</t>
  </si>
  <si>
    <t>34.1</t>
  </si>
  <si>
    <t>34.2</t>
  </si>
  <si>
    <t>34.3</t>
  </si>
  <si>
    <t>34.4</t>
  </si>
  <si>
    <t>34.5</t>
  </si>
  <si>
    <t>34.6</t>
  </si>
  <si>
    <t>34.7</t>
  </si>
  <si>
    <t>Solcito atualização da planilha para avaliação</t>
  </si>
  <si>
    <t>35.0</t>
  </si>
  <si>
    <t>35.1</t>
  </si>
  <si>
    <t>35.2</t>
  </si>
  <si>
    <t>35.3</t>
  </si>
  <si>
    <t>35.4</t>
  </si>
  <si>
    <t>35.5</t>
  </si>
  <si>
    <t>35.6</t>
  </si>
  <si>
    <t>35.7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</si>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</sst>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/>
    <xf numFmtId="0" fontId="6" fillId="4" borderId="0" xfId="0" applyFont="1" applyFill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13" activePane="bottomLeft" state="frozen"/>
      <selection pane="bottomLeft" activeCell="I1" activeCellId="2" sqref="E1:E1048576 G1:G1048576 I1:I1048576"/>
      <selection activeCell="C1" sqref="C1"/>
    </sheetView>
  </sheetViews>
  <sheetFormatPr defaultRowHeight="12.75"/>
  <cols>
    <col min="1" max="1" width="14.42578125" style="2" customWidth="1"/>
    <col min="2" max="2" width="14.42578125" style="30" customWidth="1"/>
    <col min="3" max="3" width="13" style="2" customWidth="1"/>
    <col min="4" max="5" width="14.5703125" style="2" customWidth="1"/>
    <col min="6" max="8" width="13.8554687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32" t="s">
        <v>1</v>
      </c>
      <c r="C1" s="32"/>
      <c r="D1" s="32"/>
      <c r="E1" s="32"/>
      <c r="F1" s="32"/>
      <c r="G1" s="32"/>
      <c r="H1" s="4" t="s">
        <v>2</v>
      </c>
      <c r="I1" s="1"/>
      <c r="J1" s="5"/>
      <c r="K1" s="4" t="s">
        <v>3</v>
      </c>
      <c r="L1" s="1"/>
      <c r="M1" s="1">
        <f>L1+280</f>
        <v>280</v>
      </c>
      <c r="N1" s="1">
        <f>(((DAYS360($L$1,A3)+3))/7)</f>
        <v>6436.1428571428569</v>
      </c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4</v>
      </c>
      <c r="B2" s="28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1" t="s">
        <v>13</v>
      </c>
      <c r="K2" s="4" t="s">
        <v>14</v>
      </c>
      <c r="L2" s="1"/>
      <c r="M2" s="5"/>
      <c r="N2" s="5"/>
      <c r="O2" s="1">
        <f>L2+(280-(M2*7+N2))</f>
        <v>280</v>
      </c>
      <c r="P2" s="1">
        <f>((DAYS360($L$2,$A$3,0))+(($M$2*7)+$N$2+3))/7</f>
        <v>6436.1428571428569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9">
        <v>45708</v>
      </c>
      <c r="B3" s="29" t="s">
        <v>15</v>
      </c>
      <c r="C3" s="10">
        <v>90</v>
      </c>
      <c r="D3" s="10">
        <v>135</v>
      </c>
      <c r="E3" s="11">
        <v>82</v>
      </c>
      <c r="F3" s="11">
        <v>107</v>
      </c>
      <c r="G3" s="11">
        <v>74</v>
      </c>
      <c r="H3" s="11">
        <v>122</v>
      </c>
      <c r="I3" s="10"/>
      <c r="J3" s="7"/>
      <c r="K3" s="7"/>
      <c r="L3" s="7"/>
      <c r="M3" s="7"/>
      <c r="N3" s="7"/>
      <c r="O3" s="7"/>
      <c r="P3" s="12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9">
        <v>45709</v>
      </c>
      <c r="B4" s="29" t="s">
        <v>16</v>
      </c>
      <c r="C4" s="10">
        <v>92</v>
      </c>
      <c r="D4" s="10">
        <v>140</v>
      </c>
      <c r="E4" s="11">
        <v>93</v>
      </c>
      <c r="F4" s="11">
        <v>123</v>
      </c>
      <c r="G4" s="11">
        <v>81</v>
      </c>
      <c r="H4" s="11">
        <v>124</v>
      </c>
      <c r="I4" s="10"/>
      <c r="J4" s="7"/>
      <c r="K4" s="7"/>
      <c r="L4" s="13"/>
      <c r="M4" s="14"/>
      <c r="N4" s="7"/>
      <c r="O4" s="7"/>
      <c r="P4" s="12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9">
        <v>45710</v>
      </c>
      <c r="B5" s="29" t="s">
        <v>17</v>
      </c>
      <c r="C5" s="10">
        <v>90</v>
      </c>
      <c r="D5" s="10">
        <v>140</v>
      </c>
      <c r="E5" s="11"/>
      <c r="F5" s="11">
        <v>149</v>
      </c>
      <c r="G5" s="11">
        <v>93</v>
      </c>
      <c r="H5" s="11">
        <v>105</v>
      </c>
      <c r="I5" s="10"/>
      <c r="J5" s="15"/>
      <c r="K5" s="7"/>
      <c r="L5" s="16"/>
      <c r="M5" s="14"/>
      <c r="N5" s="7"/>
      <c r="O5" s="7"/>
      <c r="P5" s="12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9">
        <v>45711</v>
      </c>
      <c r="B6" s="29" t="s">
        <v>18</v>
      </c>
      <c r="C6" s="10">
        <v>90</v>
      </c>
      <c r="D6" s="10">
        <v>140</v>
      </c>
      <c r="E6" s="11">
        <v>76</v>
      </c>
      <c r="F6" s="11">
        <v>106</v>
      </c>
      <c r="G6" s="11">
        <v>81</v>
      </c>
      <c r="H6" s="11">
        <v>116</v>
      </c>
      <c r="I6" s="10"/>
      <c r="J6" s="15"/>
      <c r="K6" s="7"/>
      <c r="L6" s="16"/>
      <c r="M6" s="14"/>
      <c r="N6" s="7"/>
      <c r="O6" s="7"/>
      <c r="P6" s="12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9">
        <v>45712</v>
      </c>
      <c r="B7" s="29" t="s">
        <v>19</v>
      </c>
      <c r="C7" s="10">
        <v>82</v>
      </c>
      <c r="D7" s="10">
        <v>119</v>
      </c>
      <c r="E7" s="11">
        <v>73</v>
      </c>
      <c r="F7" s="11">
        <v>103</v>
      </c>
      <c r="G7" s="11">
        <v>81</v>
      </c>
      <c r="H7" s="11">
        <v>113</v>
      </c>
      <c r="I7" s="10"/>
      <c r="J7" s="15"/>
      <c r="K7" s="7"/>
      <c r="L7" s="16"/>
      <c r="M7" s="14"/>
      <c r="N7" s="7"/>
      <c r="O7" s="7"/>
      <c r="P7" s="12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9">
        <v>45713</v>
      </c>
      <c r="B8" s="29" t="s">
        <v>20</v>
      </c>
      <c r="C8" s="10">
        <v>85</v>
      </c>
      <c r="D8" s="10">
        <v>137</v>
      </c>
      <c r="E8" s="11">
        <v>80</v>
      </c>
      <c r="F8" s="11">
        <v>117</v>
      </c>
      <c r="G8" s="11">
        <v>79</v>
      </c>
      <c r="H8" s="11">
        <v>105</v>
      </c>
      <c r="I8" s="10"/>
      <c r="J8" s="15"/>
      <c r="K8" s="7"/>
      <c r="L8" s="16"/>
      <c r="M8" s="14"/>
      <c r="N8" s="7"/>
      <c r="O8" s="7"/>
      <c r="P8" s="12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9">
        <v>45714</v>
      </c>
      <c r="B9" s="29" t="s">
        <v>21</v>
      </c>
      <c r="C9" s="10">
        <v>80</v>
      </c>
      <c r="D9" s="10"/>
      <c r="E9" s="11"/>
      <c r="F9" s="11"/>
      <c r="G9" s="11"/>
      <c r="H9" s="11"/>
      <c r="I9" s="10"/>
      <c r="J9" s="15">
        <f>5/30</f>
        <v>0.16666666666666666</v>
      </c>
      <c r="K9" s="7"/>
      <c r="L9" s="16"/>
      <c r="M9" s="17"/>
      <c r="N9" s="7"/>
      <c r="O9" s="7"/>
      <c r="P9" s="12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9">
        <v>45715</v>
      </c>
      <c r="B10" s="29" t="s">
        <v>22</v>
      </c>
      <c r="C10" s="18"/>
      <c r="D10" s="18"/>
      <c r="E10" s="19"/>
      <c r="F10" s="19"/>
      <c r="G10" s="19"/>
      <c r="H10" s="19"/>
      <c r="I10" s="18"/>
      <c r="J10" s="20"/>
      <c r="K10" s="7"/>
      <c r="L10" s="16"/>
      <c r="M10" s="14"/>
      <c r="N10" s="7"/>
      <c r="O10" s="7"/>
      <c r="P10" s="12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9">
        <v>45716</v>
      </c>
      <c r="B11" s="29" t="s">
        <v>23</v>
      </c>
      <c r="C11" s="18"/>
      <c r="D11" s="18"/>
      <c r="E11" s="19"/>
      <c r="F11" s="19"/>
      <c r="G11" s="19"/>
      <c r="H11" s="19"/>
      <c r="I11" s="18"/>
      <c r="J11" s="20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9">
        <v>45717</v>
      </c>
      <c r="B12" s="29" t="s">
        <v>24</v>
      </c>
      <c r="C12" s="21"/>
      <c r="D12" s="21"/>
      <c r="E12" s="21"/>
      <c r="F12" s="21"/>
      <c r="G12" s="21"/>
      <c r="H12" s="21"/>
      <c r="I12" s="21"/>
      <c r="J12" s="20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9">
        <v>45718</v>
      </c>
      <c r="B13" s="29" t="s">
        <v>25</v>
      </c>
      <c r="C13" s="22"/>
      <c r="D13" s="22"/>
      <c r="E13" s="22"/>
      <c r="F13" s="22"/>
      <c r="G13" s="22"/>
      <c r="H13" s="22"/>
      <c r="I13" s="22"/>
      <c r="J13" s="20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9">
        <v>45719</v>
      </c>
      <c r="B14" s="29" t="s">
        <v>26</v>
      </c>
      <c r="C14" s="23"/>
      <c r="D14" s="23"/>
      <c r="E14" s="23"/>
      <c r="F14" s="23"/>
      <c r="G14" s="23"/>
      <c r="H14" s="23"/>
      <c r="I14" s="2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9">
        <v>45720</v>
      </c>
      <c r="B15" s="29" t="s">
        <v>27</v>
      </c>
      <c r="C15" s="23"/>
      <c r="D15" s="23"/>
      <c r="E15" s="23"/>
      <c r="F15" s="23"/>
      <c r="G15" s="23"/>
      <c r="H15" s="23"/>
      <c r="I15" s="2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9">
        <v>45721</v>
      </c>
      <c r="B16" s="29" t="s">
        <v>28</v>
      </c>
      <c r="C16" s="23"/>
      <c r="D16" s="23"/>
      <c r="E16" s="23"/>
      <c r="F16" s="23"/>
      <c r="G16" s="23"/>
      <c r="H16" s="23"/>
      <c r="I16" s="2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9">
        <v>45722</v>
      </c>
      <c r="B17" s="29" t="s">
        <v>29</v>
      </c>
      <c r="C17" s="23"/>
      <c r="D17" s="23"/>
      <c r="E17" s="23"/>
      <c r="F17" s="23"/>
      <c r="G17" s="23"/>
      <c r="H17" s="23"/>
      <c r="I17" s="23"/>
      <c r="J17" s="31" t="s">
        <v>30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9">
        <v>45723</v>
      </c>
      <c r="B18" s="29" t="s">
        <v>31</v>
      </c>
      <c r="C18" s="23"/>
      <c r="D18" s="23"/>
      <c r="E18" s="23"/>
      <c r="F18" s="23"/>
      <c r="G18" s="23"/>
      <c r="H18" s="23"/>
      <c r="I18" s="2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9">
        <v>45724</v>
      </c>
      <c r="B19" s="29" t="s">
        <v>32</v>
      </c>
      <c r="C19" s="23"/>
      <c r="D19" s="23"/>
      <c r="E19" s="23"/>
      <c r="F19" s="23"/>
      <c r="G19" s="23"/>
      <c r="H19" s="23"/>
      <c r="I19" s="2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9">
        <v>45725</v>
      </c>
      <c r="B20" s="29" t="s">
        <v>33</v>
      </c>
      <c r="C20" s="23"/>
      <c r="D20" s="23"/>
      <c r="E20" s="23"/>
      <c r="F20" s="23"/>
      <c r="G20" s="23"/>
      <c r="H20" s="23"/>
      <c r="I20" s="2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9">
        <v>45726</v>
      </c>
      <c r="B21" s="29" t="s">
        <v>34</v>
      </c>
      <c r="C21" s="23"/>
      <c r="D21" s="23"/>
      <c r="E21" s="23"/>
      <c r="F21" s="23"/>
      <c r="G21" s="23"/>
      <c r="H21" s="23"/>
      <c r="I21" s="2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9">
        <v>45727</v>
      </c>
      <c r="B22" s="29" t="s">
        <v>35</v>
      </c>
      <c r="C22" s="23"/>
      <c r="D22" s="23"/>
      <c r="E22" s="23"/>
      <c r="F22" s="23"/>
      <c r="G22" s="23"/>
      <c r="H22" s="23"/>
      <c r="I22" s="2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9">
        <v>45728</v>
      </c>
      <c r="B23" s="29" t="s">
        <v>36</v>
      </c>
      <c r="C23" s="23"/>
      <c r="D23" s="23"/>
      <c r="E23" s="23"/>
      <c r="F23" s="23"/>
      <c r="G23" s="23"/>
      <c r="H23" s="23"/>
      <c r="I23" s="2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9">
        <v>45729</v>
      </c>
      <c r="B24" s="29" t="s">
        <v>37</v>
      </c>
      <c r="C24" s="23"/>
      <c r="D24" s="23"/>
      <c r="E24" s="23"/>
      <c r="F24" s="23"/>
      <c r="G24" s="23"/>
      <c r="H24" s="23"/>
      <c r="I24" s="2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9">
        <v>45730</v>
      </c>
      <c r="B25" s="29" t="s">
        <v>38</v>
      </c>
      <c r="C25" s="23"/>
      <c r="D25" s="23"/>
      <c r="E25" s="23"/>
      <c r="F25" s="23"/>
      <c r="G25" s="23"/>
      <c r="H25" s="23"/>
      <c r="I25" s="2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9">
        <v>45731</v>
      </c>
      <c r="B26" s="29"/>
      <c r="C26" s="23"/>
      <c r="D26" s="23"/>
      <c r="E26" s="23"/>
      <c r="F26" s="23"/>
      <c r="G26" s="23"/>
      <c r="H26" s="23"/>
      <c r="I26" s="2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9">
        <v>45732</v>
      </c>
      <c r="B27" s="29"/>
      <c r="C27" s="23"/>
      <c r="D27" s="23"/>
      <c r="E27" s="23"/>
      <c r="F27" s="23"/>
      <c r="G27" s="23"/>
      <c r="H27" s="23"/>
      <c r="I27" s="2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9">
        <v>45733</v>
      </c>
      <c r="B28" s="29"/>
      <c r="C28" s="23"/>
      <c r="D28" s="23"/>
      <c r="E28" s="23"/>
      <c r="F28" s="23"/>
      <c r="G28" s="23"/>
      <c r="H28" s="23"/>
      <c r="I28" s="2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9">
        <v>45734</v>
      </c>
      <c r="B29" s="29"/>
      <c r="C29" s="23"/>
      <c r="D29" s="23"/>
      <c r="E29" s="23"/>
      <c r="F29" s="23"/>
      <c r="G29" s="23"/>
      <c r="H29" s="23"/>
      <c r="I29" s="2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9">
        <v>45735</v>
      </c>
      <c r="B30" s="29"/>
      <c r="C30" s="23"/>
      <c r="D30" s="23"/>
      <c r="E30" s="23"/>
      <c r="F30" s="23"/>
      <c r="G30" s="23"/>
      <c r="H30" s="23"/>
      <c r="I30" s="2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9">
        <v>45736</v>
      </c>
      <c r="B31" s="29"/>
      <c r="C31" s="23"/>
      <c r="D31" s="23"/>
      <c r="E31" s="23"/>
      <c r="F31" s="23"/>
      <c r="G31" s="23"/>
      <c r="H31" s="23"/>
      <c r="I31" s="2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9">
        <v>45737</v>
      </c>
      <c r="B32" s="29"/>
      <c r="C32" s="23"/>
      <c r="D32" s="23"/>
      <c r="E32" s="23"/>
      <c r="F32" s="23"/>
      <c r="G32" s="23"/>
      <c r="H32" s="23"/>
      <c r="I32" s="2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9">
        <v>45738</v>
      </c>
      <c r="B33" s="29"/>
      <c r="C33" s="23"/>
      <c r="D33" s="23"/>
      <c r="E33" s="23"/>
      <c r="F33" s="23"/>
      <c r="G33" s="23"/>
      <c r="H33" s="23"/>
      <c r="I33" s="2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9">
        <v>45739</v>
      </c>
      <c r="B34" s="29"/>
      <c r="C34" s="23"/>
      <c r="D34" s="23"/>
      <c r="E34" s="23"/>
      <c r="F34" s="23"/>
      <c r="G34" s="23"/>
      <c r="H34" s="23"/>
      <c r="I34" s="2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9">
        <v>45740</v>
      </c>
      <c r="B35" s="29"/>
      <c r="C35" s="23"/>
      <c r="D35" s="23"/>
      <c r="E35" s="23"/>
      <c r="F35" s="23"/>
      <c r="G35" s="23"/>
      <c r="H35" s="23"/>
      <c r="I35" s="2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9">
        <v>45741</v>
      </c>
      <c r="B36" s="29"/>
      <c r="C36" s="24"/>
      <c r="D36" s="24"/>
      <c r="E36" s="24"/>
      <c r="F36" s="24"/>
      <c r="G36" s="24"/>
      <c r="H36" s="24"/>
      <c r="I36" s="2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9">
        <v>45742</v>
      </c>
      <c r="B37" s="29"/>
      <c r="C37" s="23"/>
      <c r="D37" s="23"/>
      <c r="E37" s="23"/>
      <c r="F37" s="23"/>
      <c r="G37" s="23"/>
      <c r="H37" s="23"/>
      <c r="I37" s="2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9">
        <v>45743</v>
      </c>
      <c r="B38" s="29"/>
      <c r="C38" s="23"/>
      <c r="D38" s="23"/>
      <c r="E38" s="23"/>
      <c r="F38" s="23"/>
      <c r="G38" s="23"/>
      <c r="H38" s="23"/>
      <c r="I38" s="2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9">
        <v>45744</v>
      </c>
      <c r="B39" s="29"/>
      <c r="C39" s="23"/>
      <c r="D39" s="23"/>
      <c r="E39" s="23"/>
      <c r="F39" s="23"/>
      <c r="G39" s="23"/>
      <c r="H39" s="23"/>
      <c r="I39" s="23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9">
        <v>45745</v>
      </c>
      <c r="B40" s="29"/>
      <c r="C40" s="23"/>
      <c r="D40" s="23"/>
      <c r="E40" s="23"/>
      <c r="F40" s="23"/>
      <c r="G40" s="23"/>
      <c r="H40" s="23"/>
      <c r="I40" s="2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9">
        <v>45746</v>
      </c>
      <c r="B41" s="29"/>
      <c r="C41" s="23"/>
      <c r="D41" s="23"/>
      <c r="E41" s="23"/>
      <c r="F41" s="23"/>
      <c r="G41" s="23"/>
      <c r="H41" s="23"/>
      <c r="I41" s="2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9">
        <v>45747</v>
      </c>
      <c r="B42" s="29"/>
      <c r="C42" s="23"/>
      <c r="D42" s="23"/>
      <c r="E42" s="23"/>
      <c r="F42" s="23"/>
      <c r="G42" s="23"/>
      <c r="H42" s="23"/>
      <c r="I42" s="2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9">
        <v>45748</v>
      </c>
      <c r="B43" s="29"/>
      <c r="C43" s="23"/>
      <c r="D43" s="23"/>
      <c r="E43" s="23"/>
      <c r="F43" s="23"/>
      <c r="G43" s="23"/>
      <c r="H43" s="23"/>
      <c r="I43" s="2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9">
        <v>45749</v>
      </c>
      <c r="B44" s="29"/>
      <c r="C44" s="23"/>
      <c r="D44" s="23"/>
      <c r="E44" s="23"/>
      <c r="F44" s="23"/>
      <c r="G44" s="23"/>
      <c r="H44" s="23"/>
      <c r="I44" s="2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9">
        <v>45750</v>
      </c>
      <c r="B45" s="29"/>
      <c r="C45" s="23"/>
      <c r="D45" s="23"/>
      <c r="E45" s="23"/>
      <c r="F45" s="23"/>
      <c r="G45" s="23"/>
      <c r="H45" s="23"/>
      <c r="I45" s="2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9">
        <v>45751</v>
      </c>
      <c r="B46" s="29"/>
      <c r="C46" s="23"/>
      <c r="D46" s="23"/>
      <c r="E46" s="23"/>
      <c r="F46" s="23"/>
      <c r="G46" s="23"/>
      <c r="H46" s="23"/>
      <c r="I46" s="2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9">
        <v>45752</v>
      </c>
      <c r="B47" s="29"/>
      <c r="C47" s="23"/>
      <c r="D47" s="23"/>
      <c r="E47" s="23"/>
      <c r="F47" s="23"/>
      <c r="G47" s="23"/>
      <c r="H47" s="23"/>
      <c r="I47" s="2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9">
        <v>45753</v>
      </c>
      <c r="B48" s="29"/>
      <c r="C48" s="23"/>
      <c r="D48" s="23"/>
      <c r="E48" s="23"/>
      <c r="F48" s="23"/>
      <c r="G48" s="23"/>
      <c r="H48" s="23"/>
      <c r="I48" s="2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9">
        <v>45754</v>
      </c>
      <c r="B49" s="29"/>
      <c r="C49" s="23"/>
      <c r="D49" s="23"/>
      <c r="E49" s="23"/>
      <c r="F49" s="23"/>
      <c r="G49" s="23"/>
      <c r="H49" s="23"/>
      <c r="I49" s="23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9">
        <v>45755</v>
      </c>
      <c r="B50" s="29"/>
      <c r="C50" s="23"/>
      <c r="D50" s="23"/>
      <c r="E50" s="23"/>
      <c r="F50" s="23"/>
      <c r="G50" s="23"/>
      <c r="H50" s="23"/>
      <c r="I50" s="23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9">
        <v>45756</v>
      </c>
      <c r="B51" s="29"/>
      <c r="C51" s="25"/>
      <c r="D51" s="25"/>
      <c r="E51" s="25"/>
      <c r="F51" s="25"/>
      <c r="G51" s="25"/>
      <c r="H51" s="25"/>
      <c r="I51" s="2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9">
        <v>45757</v>
      </c>
      <c r="B52" s="29"/>
    </row>
    <row r="53" spans="1:25" ht="39" customHeight="1">
      <c r="A53" s="9">
        <v>45758</v>
      </c>
      <c r="B53" s="29"/>
    </row>
    <row r="54" spans="1:25" ht="39" customHeight="1">
      <c r="A54" s="9">
        <v>45759</v>
      </c>
      <c r="B54" s="29"/>
    </row>
    <row r="55" spans="1:25" ht="39" customHeight="1">
      <c r="A55" s="9">
        <v>45760</v>
      </c>
      <c r="B55" s="29"/>
    </row>
    <row r="56" spans="1:25" ht="39" customHeight="1">
      <c r="A56" s="9">
        <v>45761</v>
      </c>
      <c r="B56" s="29"/>
    </row>
    <row r="57" spans="1:25" ht="39" customHeight="1">
      <c r="A57" s="9">
        <v>45762</v>
      </c>
      <c r="B57" s="29"/>
    </row>
    <row r="58" spans="1:25" ht="39" customHeight="1">
      <c r="A58" s="9">
        <v>45763</v>
      </c>
      <c r="B58" s="29"/>
    </row>
    <row r="59" spans="1:25" ht="39" customHeight="1">
      <c r="A59" s="9">
        <v>45764</v>
      </c>
      <c r="B59" s="29"/>
    </row>
    <row r="60" spans="1:25" ht="39" customHeight="1">
      <c r="A60" s="9">
        <v>45765</v>
      </c>
      <c r="B60" s="29"/>
    </row>
    <row r="61" spans="1:25" ht="39" customHeight="1">
      <c r="A61" s="9">
        <v>45766</v>
      </c>
      <c r="B61" s="29"/>
    </row>
    <row r="62" spans="1:25" ht="39" customHeight="1">
      <c r="A62" s="9">
        <v>45767</v>
      </c>
      <c r="B62" s="29"/>
    </row>
    <row r="63" spans="1:25" ht="39" customHeight="1">
      <c r="A63" s="9">
        <v>45768</v>
      </c>
      <c r="B63" s="29"/>
    </row>
    <row r="64" spans="1:25" ht="39" customHeight="1">
      <c r="A64" s="9">
        <v>45769</v>
      </c>
      <c r="B64" s="29"/>
    </row>
    <row r="65" spans="1:2" ht="39" customHeight="1">
      <c r="A65" s="9">
        <v>45770</v>
      </c>
      <c r="B65" s="29"/>
    </row>
    <row r="66" spans="1:2" ht="39" customHeight="1">
      <c r="A66" s="9">
        <v>45771</v>
      </c>
      <c r="B66" s="29"/>
    </row>
    <row r="67" spans="1:2" ht="39" customHeight="1">
      <c r="A67" s="9">
        <v>45772</v>
      </c>
      <c r="B67" s="29"/>
    </row>
    <row r="68" spans="1:2" ht="39" customHeight="1">
      <c r="A68" s="9">
        <v>45773</v>
      </c>
      <c r="B68" s="29"/>
    </row>
    <row r="69" spans="1:2" ht="39" customHeight="1"/>
    <row r="70" spans="1:2" ht="39" customHeight="1"/>
    <row r="71" spans="1:2" ht="39" customHeight="1"/>
    <row r="72" spans="1:2" ht="39" customHeight="1"/>
    <row r="73" spans="1:2" ht="39" customHeight="1"/>
    <row r="74" spans="1:2" ht="39" customHeight="1"/>
    <row r="75" spans="1:2" ht="39" customHeight="1"/>
    <row r="76" spans="1:2" ht="39" customHeight="1"/>
    <row r="77" spans="1:2" ht="39" customHeight="1"/>
    <row r="78" spans="1:2" ht="39" customHeight="1"/>
    <row r="79" spans="1:2" ht="39" customHeight="1"/>
    <row r="80" spans="1:2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G1"/>
  </mergeCells>
  <conditionalFormatting sqref="C1:I1048576">
    <cfRule type="cellIs" dxfId="3" priority="4" operator="lessThan">
      <formula>70</formula>
    </cfRule>
  </conditionalFormatting>
  <conditionalFormatting sqref="C1:C1048576">
    <cfRule type="cellIs" dxfId="2" priority="3" operator="greaterThan">
      <formula>94</formula>
    </cfRule>
  </conditionalFormatting>
  <conditionalFormatting sqref="D1:D1048576 F1:F1048576 H1:H1048576">
    <cfRule type="cellIs" dxfId="1" priority="2" operator="greaterThan">
      <formula>139</formula>
    </cfRule>
  </conditionalFormatting>
  <conditionalFormatting sqref="E1:E1048576 G1:G1048576 I1:I1048576">
    <cfRule type="cellIs" dxfId="0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26" t="s">
        <v>39</v>
      </c>
      <c r="B1" s="27" t="s">
        <v>40</v>
      </c>
      <c r="C1" s="27" t="s">
        <v>41</v>
      </c>
      <c r="D1" s="27" t="s">
        <v>42</v>
      </c>
      <c r="E1" s="26" t="s">
        <v>43</v>
      </c>
      <c r="F1" s="26" t="s">
        <v>44</v>
      </c>
      <c r="G1" s="27" t="s">
        <v>45</v>
      </c>
      <c r="H1" s="27" t="s">
        <v>46</v>
      </c>
      <c r="I1" s="27" t="s">
        <v>47</v>
      </c>
      <c r="J1" s="27" t="s">
        <v>48</v>
      </c>
      <c r="K1" s="27" t="s">
        <v>49</v>
      </c>
      <c r="L1" s="27" t="s">
        <v>50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4</cp:revision>
  <dcterms:created xsi:type="dcterms:W3CDTF">2019-05-23T12:46:50Z</dcterms:created>
  <dcterms:modified xsi:type="dcterms:W3CDTF">2025-03-17T14:51:43Z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