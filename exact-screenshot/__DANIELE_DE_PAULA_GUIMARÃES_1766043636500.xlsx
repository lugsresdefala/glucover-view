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xr:revisionPtr revIDLastSave="553" documentId="8_{825C356F-483B-4896-A6EF-682872A5AF3C}" xr6:coauthVersionLast="47" xr6:coauthVersionMax="47" xr10:uidLastSave="{7915F4CC-3F8C-4CA1-A23C-50438D2BACE7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5" i="1" l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</calcChain>
</file>

<file path=xl/sharedStrings.xml><?xml version="1.0" encoding="utf-8"?>
<sst xmlns="http://schemas.openxmlformats.org/spreadsheetml/2006/main" count="56" uniqueCount="53">
  <si>
    <t>NOME:</t>
  </si>
  <si>
    <t xml:space="preserve"> DANIELE DE PAULA GUIMARÃES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</si>
  <si>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</si>
  <si>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</si>
  <si>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</si>
  <si>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</si>
  <si>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</si>
  <si>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</si>
  <si>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</si>
  <si>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</si>
  <si>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</si>
  <si>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</si>
  <si>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</si>
  <si>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</si>
  <si>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</si>
  <si>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21,2</t>
  </si>
  <si>
    <t>controles ok</t>
  </si>
  <si>
    <t>aguardo valores</t>
  </si>
  <si>
    <t>A nutricionista entrará em contato</t>
  </si>
  <si>
    <t xml:space="preserve">tentativa de contato sem sucesso. </t>
  </si>
  <si>
    <t>controles alterados, principalmente o jejum</t>
  </si>
  <si>
    <t xml:space="preserve">a doutora já esta ciente para a proxima consulta. </t>
  </si>
  <si>
    <t>Controles ok, mantenha a ceia todos os dias.</t>
  </si>
  <si>
    <t>passarei em consulta amanhã</t>
  </si>
  <si>
    <t>introduzido NPH 6ui de noite</t>
  </si>
  <si>
    <t>A doutora já estava ciente, e ela já tinha me falado pra acompanhar</t>
  </si>
  <si>
    <t>os controles para entrar com medicação, devo os cistos que tenho nos ovarios que aumenta o açucar no sangut</t>
  </si>
  <si>
    <t>açucar no sangue</t>
  </si>
  <si>
    <t>começei a usar 6 UI de insulina NPH ao deitar, já vi melhoras no jejum.</t>
  </si>
  <si>
    <t xml:space="preserve">Controles ok  </t>
  </si>
  <si>
    <t>CONTROLES OK</t>
  </si>
  <si>
    <t>não conseguir por o valor no pós almoço pois esta configurando para data de nascimento</t>
  </si>
  <si>
    <t>ajustada configuracao do pos almoco p/ numero. pode usar</t>
  </si>
  <si>
    <t>Controles ok</t>
  </si>
  <si>
    <t>ótimo controle</t>
  </si>
  <si>
    <t xml:space="preserve">Envio Whats para manter dose - questiono a possibilidade de aumentar controles de dextros. </t>
  </si>
  <si>
    <t>Envio Whats para manter</t>
  </si>
  <si>
    <t>bom controle, tendencia hipo leve de manhã - ajustar ceia com nutri, manter dose</t>
  </si>
  <si>
    <t>Envio whats, comunicando para manter</t>
  </si>
  <si>
    <t>teleconsulta Fávia- reoriento dieta</t>
  </si>
  <si>
    <t>parto agendado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</si>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</sst>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"/>
  </numFmts>
  <fonts count="15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2"/>
      <name val="Arial"/>
      <family val="2"/>
      <charset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</font>
    <font>
      <b/>
      <sz val="12"/>
      <name val="Arial"/>
      <charset val="1"/>
    </font>
    <font>
      <b/>
      <sz val="10"/>
      <color rgb="FF000000"/>
      <name val="Arial"/>
      <charset val="1"/>
    </font>
    <font>
      <b/>
      <sz val="10"/>
      <color rgb="FF000000"/>
      <name val="Arial"/>
    </font>
    <font>
      <b/>
      <sz val="11"/>
      <color rgb="FF242424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5" fontId="3" fillId="2" borderId="4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 wrapText="1"/>
    </xf>
    <xf numFmtId="165" fontId="3" fillId="2" borderId="7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164" fontId="5" fillId="2" borderId="9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/>
    </xf>
    <xf numFmtId="0" fontId="7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/>
    <xf numFmtId="2" fontId="5" fillId="2" borderId="6" xfId="0" applyNumberFormat="1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13" fillId="4" borderId="11" xfId="0" applyFont="1" applyFill="1" applyBorder="1" applyAlignment="1">
      <alignment wrapText="1"/>
    </xf>
    <xf numFmtId="14" fontId="3" fillId="3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/>
    <xf numFmtId="2" fontId="5" fillId="2" borderId="8" xfId="0" applyNumberFormat="1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0" fontId="14" fillId="4" borderId="11" xfId="0" applyFont="1" applyFill="1" applyBorder="1" applyAlignment="1">
      <alignment wrapText="1"/>
    </xf>
    <xf numFmtId="0" fontId="12" fillId="4" borderId="0" xfId="0" applyFont="1" applyFill="1" applyAlignment="1">
      <alignment wrapText="1"/>
    </xf>
    <xf numFmtId="0" fontId="12" fillId="5" borderId="0" xfId="0" applyFont="1" applyFill="1"/>
    <xf numFmtId="164" fontId="2" fillId="3" borderId="9" xfId="0" applyNumberFormat="1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88:K90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1000"/>
  <sheetViews>
    <sheetView tabSelected="1" topLeftCell="D1" zoomScaleNormal="100" workbookViewId="0">
      <pane ySplit="2" topLeftCell="A101" activePane="bottomLeft" state="frozen"/>
      <selection pane="bottomLeft" activeCell="I1" activeCellId="2" sqref="E1:E1048576 G1:G1048576 I1:I1048576"/>
      <selection activeCell="D1" sqref="D1"/>
    </sheetView>
  </sheetViews>
  <sheetFormatPr defaultColWidth="14.42578125" defaultRowHeight="15"/>
  <cols>
    <col min="1" max="1" width="14.42578125" style="1"/>
    <col min="2" max="2" width="15.140625" style="24" customWidth="1"/>
    <col min="3" max="3" width="13" style="1" customWidth="1"/>
    <col min="4" max="5" width="14.5703125" style="1" customWidth="1"/>
    <col min="6" max="7" width="13.85546875" style="1" customWidth="1"/>
    <col min="8" max="8" width="16.5703125" style="1" customWidth="1"/>
    <col min="9" max="9" width="16.5703125" style="33" customWidth="1"/>
    <col min="10" max="10" width="29.710937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27" s="6" customFormat="1" ht="41.25" customHeight="1">
      <c r="A1" s="2" t="s">
        <v>0</v>
      </c>
      <c r="B1" s="66" t="s">
        <v>1</v>
      </c>
      <c r="C1" s="67"/>
      <c r="D1" s="67"/>
      <c r="E1" s="67"/>
      <c r="F1" s="67"/>
      <c r="G1" s="68"/>
      <c r="H1" s="51" t="s">
        <v>2</v>
      </c>
      <c r="I1" s="49"/>
      <c r="J1" s="25"/>
      <c r="K1" s="2" t="s">
        <v>3</v>
      </c>
      <c r="L1" s="3">
        <v>45477</v>
      </c>
      <c r="M1" s="3"/>
      <c r="N1" s="3"/>
      <c r="O1" s="3"/>
      <c r="P1" s="3"/>
      <c r="Q1" s="4"/>
      <c r="R1" s="5"/>
      <c r="S1" s="5"/>
      <c r="T1" s="5"/>
      <c r="U1" s="5"/>
      <c r="V1" s="5"/>
      <c r="W1" s="5"/>
      <c r="X1" s="5"/>
    </row>
    <row r="2" spans="1:27" s="6" customFormat="1" ht="39" customHeight="1">
      <c r="A2" s="2" t="s">
        <v>4</v>
      </c>
      <c r="B2" s="23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51" t="s">
        <v>10</v>
      </c>
      <c r="H2" s="51" t="s">
        <v>11</v>
      </c>
      <c r="I2" s="51" t="s">
        <v>12</v>
      </c>
      <c r="J2" s="7" t="s">
        <v>13</v>
      </c>
      <c r="K2" s="2" t="s">
        <v>14</v>
      </c>
      <c r="L2" s="3"/>
      <c r="M2" s="8"/>
      <c r="N2" s="8"/>
      <c r="O2" s="3"/>
      <c r="P2" s="3"/>
      <c r="Q2" s="5"/>
      <c r="R2" s="5"/>
      <c r="S2" s="5"/>
      <c r="T2" s="5"/>
      <c r="U2" s="5"/>
      <c r="V2" s="5"/>
      <c r="W2" s="5"/>
      <c r="X2" s="5"/>
    </row>
    <row r="3" spans="1:27" ht="39" customHeight="1">
      <c r="A3" s="26">
        <v>45624</v>
      </c>
      <c r="B3" s="30" t="s">
        <v>15</v>
      </c>
      <c r="C3" s="9">
        <v>97</v>
      </c>
      <c r="D3" s="9">
        <v>141</v>
      </c>
      <c r="E3" s="9"/>
      <c r="F3" s="9">
        <v>125</v>
      </c>
      <c r="G3" s="52"/>
      <c r="H3" s="52">
        <v>106</v>
      </c>
      <c r="I3" s="50"/>
      <c r="J3" s="5"/>
      <c r="K3" s="5"/>
      <c r="L3" s="5"/>
      <c r="M3" s="5"/>
      <c r="N3" s="5"/>
      <c r="O3" s="5"/>
      <c r="P3" s="10"/>
      <c r="Q3" s="5"/>
      <c r="R3" s="5"/>
      <c r="S3" s="5"/>
      <c r="T3" s="5"/>
      <c r="U3" s="5"/>
      <c r="V3" s="5"/>
      <c r="W3" s="5"/>
      <c r="X3" s="5"/>
    </row>
    <row r="4" spans="1:27" ht="39" customHeight="1">
      <c r="A4" s="26">
        <v>45625</v>
      </c>
      <c r="B4" s="29">
        <v>21.3</v>
      </c>
      <c r="C4" s="37">
        <v>87</v>
      </c>
      <c r="D4" s="37">
        <v>139</v>
      </c>
      <c r="E4" s="37"/>
      <c r="F4" s="37">
        <v>95</v>
      </c>
      <c r="G4" s="53"/>
      <c r="H4" s="53">
        <v>119</v>
      </c>
      <c r="I4" s="37"/>
      <c r="J4" s="5"/>
      <c r="K4" s="5"/>
      <c r="L4" s="11"/>
      <c r="M4" s="12"/>
      <c r="N4" s="5"/>
      <c r="O4" s="5"/>
      <c r="P4" s="10"/>
      <c r="Q4" s="5"/>
      <c r="R4" s="5"/>
      <c r="S4" s="5"/>
      <c r="T4" s="5"/>
      <c r="U4" s="5"/>
      <c r="V4" s="5"/>
      <c r="W4" s="5"/>
      <c r="X4" s="5"/>
    </row>
    <row r="5" spans="1:27" ht="39" customHeight="1">
      <c r="A5" s="26">
        <v>45626</v>
      </c>
      <c r="B5" s="29">
        <v>21.4</v>
      </c>
      <c r="C5" s="37">
        <v>91</v>
      </c>
      <c r="D5" s="37">
        <v>128</v>
      </c>
      <c r="E5" s="37"/>
      <c r="F5" s="37">
        <v>107</v>
      </c>
      <c r="G5" s="53"/>
      <c r="H5" s="53">
        <v>113</v>
      </c>
      <c r="I5" s="37"/>
      <c r="J5" s="13"/>
      <c r="K5" s="5"/>
      <c r="L5" s="11"/>
      <c r="M5" s="12"/>
      <c r="N5" s="5"/>
      <c r="O5" s="5"/>
      <c r="P5" s="10"/>
      <c r="Q5" s="5"/>
      <c r="R5" s="5"/>
      <c r="S5" s="5"/>
      <c r="T5" s="5"/>
      <c r="U5" s="5"/>
      <c r="V5" s="5"/>
      <c r="W5" s="5"/>
      <c r="X5" s="5"/>
    </row>
    <row r="6" spans="1:27" ht="39" customHeight="1">
      <c r="A6" s="26">
        <v>45627</v>
      </c>
      <c r="B6" s="29">
        <v>21.5</v>
      </c>
      <c r="C6" s="37">
        <v>94</v>
      </c>
      <c r="D6" s="37"/>
      <c r="E6" s="37"/>
      <c r="F6" s="37">
        <v>106</v>
      </c>
      <c r="G6" s="53"/>
      <c r="H6" s="53">
        <v>121</v>
      </c>
      <c r="I6" s="37"/>
      <c r="J6" s="14"/>
      <c r="K6" s="5"/>
      <c r="L6" s="11"/>
      <c r="M6" s="12"/>
      <c r="N6" s="5"/>
      <c r="O6" s="5"/>
      <c r="P6" s="10"/>
      <c r="Q6" s="5"/>
      <c r="R6" s="5"/>
      <c r="S6" s="5"/>
      <c r="T6" s="5"/>
      <c r="U6" s="5"/>
      <c r="V6" s="5"/>
      <c r="W6" s="5"/>
      <c r="X6" s="5"/>
    </row>
    <row r="7" spans="1:27" ht="39" customHeight="1">
      <c r="A7" s="26">
        <v>45628</v>
      </c>
      <c r="B7" s="29">
        <v>21.6</v>
      </c>
      <c r="C7" s="37">
        <v>85</v>
      </c>
      <c r="D7" s="37">
        <v>112</v>
      </c>
      <c r="E7" s="37"/>
      <c r="F7" s="37">
        <v>135</v>
      </c>
      <c r="G7" s="53"/>
      <c r="H7" s="53">
        <v>113</v>
      </c>
      <c r="I7" s="37"/>
      <c r="J7" s="15"/>
      <c r="K7" s="5"/>
      <c r="L7" s="11"/>
      <c r="M7" s="12"/>
      <c r="N7" s="5"/>
      <c r="O7" s="5"/>
      <c r="P7" s="10"/>
      <c r="Q7" s="5"/>
      <c r="R7" s="5"/>
      <c r="S7" s="5"/>
      <c r="T7" s="5"/>
      <c r="U7" s="5"/>
      <c r="V7" s="5"/>
      <c r="W7" s="5"/>
      <c r="X7" s="5"/>
    </row>
    <row r="8" spans="1:27" ht="39" customHeight="1">
      <c r="A8" s="26">
        <v>45629</v>
      </c>
      <c r="B8" s="29">
        <v>22</v>
      </c>
      <c r="C8" s="37">
        <v>88</v>
      </c>
      <c r="D8" s="37">
        <v>129</v>
      </c>
      <c r="E8" s="37"/>
      <c r="F8" s="37">
        <v>131</v>
      </c>
      <c r="G8" s="53"/>
      <c r="H8" s="53">
        <v>125</v>
      </c>
      <c r="I8" s="37"/>
      <c r="J8" s="14"/>
      <c r="K8" s="5"/>
      <c r="L8" s="11"/>
      <c r="M8" s="12"/>
      <c r="N8" s="5"/>
      <c r="O8" s="5"/>
      <c r="P8" s="10"/>
      <c r="Q8" s="5"/>
      <c r="R8" s="5"/>
      <c r="S8" s="5"/>
      <c r="T8" s="5"/>
      <c r="U8" s="5"/>
      <c r="V8" s="5"/>
      <c r="W8" s="5"/>
      <c r="X8" s="5"/>
    </row>
    <row r="9" spans="1:27" ht="39" customHeight="1">
      <c r="A9" s="26">
        <v>45630</v>
      </c>
      <c r="B9" s="29">
        <v>22.1</v>
      </c>
      <c r="C9" s="37">
        <v>99</v>
      </c>
      <c r="D9" s="37">
        <v>139</v>
      </c>
      <c r="E9" s="37"/>
      <c r="F9" s="37">
        <v>102</v>
      </c>
      <c r="G9" s="53"/>
      <c r="H9" s="53"/>
      <c r="I9" s="37"/>
      <c r="J9" s="38" t="s">
        <v>16</v>
      </c>
      <c r="K9" s="5"/>
      <c r="L9" s="11"/>
      <c r="M9" s="16"/>
      <c r="N9" s="5"/>
      <c r="O9" s="5"/>
      <c r="P9" s="10"/>
      <c r="Q9" s="5"/>
      <c r="R9" s="5"/>
      <c r="S9" s="5"/>
      <c r="T9" s="5"/>
      <c r="U9" s="5"/>
      <c r="V9" s="5"/>
      <c r="W9" s="5"/>
      <c r="X9" s="5"/>
    </row>
    <row r="10" spans="1:27" ht="39" customHeight="1">
      <c r="A10" s="26">
        <v>45631</v>
      </c>
      <c r="B10" s="29">
        <v>22.2</v>
      </c>
      <c r="C10" s="37">
        <v>86</v>
      </c>
      <c r="D10" s="37">
        <v>112</v>
      </c>
      <c r="E10" s="37"/>
      <c r="F10" s="37">
        <v>82</v>
      </c>
      <c r="G10" s="53"/>
      <c r="H10" s="53">
        <v>99</v>
      </c>
      <c r="I10" s="37"/>
      <c r="J10" s="17"/>
      <c r="K10" s="5"/>
      <c r="L10" s="11"/>
      <c r="M10" s="12"/>
      <c r="N10" s="5"/>
      <c r="O10" s="5"/>
      <c r="P10" s="10"/>
      <c r="Q10" s="5"/>
      <c r="R10" s="5"/>
      <c r="S10" s="5"/>
      <c r="T10" s="5"/>
      <c r="U10" s="5"/>
      <c r="V10" s="5"/>
      <c r="W10" s="5"/>
      <c r="X10" s="5"/>
    </row>
    <row r="11" spans="1:27" ht="39" customHeight="1">
      <c r="A11" s="26">
        <v>45632</v>
      </c>
      <c r="B11" s="29">
        <v>22.3</v>
      </c>
      <c r="C11" s="37">
        <v>85</v>
      </c>
      <c r="D11" s="37">
        <v>117</v>
      </c>
      <c r="E11" s="37"/>
      <c r="F11" s="37">
        <v>104</v>
      </c>
      <c r="G11" s="53"/>
      <c r="H11" s="53">
        <v>144</v>
      </c>
      <c r="I11" s="37"/>
      <c r="J11" s="1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39" customHeight="1">
      <c r="A12" s="26">
        <v>45633</v>
      </c>
      <c r="B12" s="29">
        <v>22.4</v>
      </c>
      <c r="C12" s="37">
        <v>93</v>
      </c>
      <c r="D12" s="37">
        <v>138</v>
      </c>
      <c r="E12" s="37"/>
      <c r="F12" s="37">
        <v>126</v>
      </c>
      <c r="G12" s="53"/>
      <c r="H12" s="53">
        <v>110</v>
      </c>
      <c r="I12" s="37"/>
      <c r="J12" s="1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39" customHeight="1">
      <c r="A13" s="26">
        <v>45634</v>
      </c>
      <c r="B13" s="29">
        <v>22.5</v>
      </c>
      <c r="C13" s="37">
        <v>95</v>
      </c>
      <c r="D13" s="37">
        <v>124</v>
      </c>
      <c r="E13" s="37"/>
      <c r="F13" s="37">
        <v>95</v>
      </c>
      <c r="G13" s="53"/>
      <c r="H13" s="53">
        <v>107</v>
      </c>
      <c r="I13" s="37"/>
      <c r="J13" s="1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39" customHeight="1">
      <c r="A14" s="26">
        <v>45635</v>
      </c>
      <c r="B14" s="29">
        <v>22.6</v>
      </c>
      <c r="C14" s="37">
        <v>93</v>
      </c>
      <c r="D14" s="37">
        <v>130</v>
      </c>
      <c r="E14" s="37"/>
      <c r="F14" s="37">
        <v>110</v>
      </c>
      <c r="G14" s="53"/>
      <c r="H14" s="53">
        <v>95</v>
      </c>
      <c r="I14" s="3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39" customHeight="1">
      <c r="A15" s="26">
        <v>45636</v>
      </c>
      <c r="B15" s="29">
        <v>23</v>
      </c>
      <c r="C15" s="37">
        <v>94</v>
      </c>
      <c r="D15" s="37">
        <v>115</v>
      </c>
      <c r="E15" s="37"/>
      <c r="F15" s="37">
        <v>103</v>
      </c>
      <c r="G15" s="53"/>
      <c r="H15" s="53">
        <v>124</v>
      </c>
      <c r="I15" s="3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39" customHeight="1">
      <c r="A16" s="26">
        <v>45637</v>
      </c>
      <c r="B16" s="29">
        <v>23.1</v>
      </c>
      <c r="C16" s="37">
        <v>95</v>
      </c>
      <c r="D16" s="37">
        <v>125</v>
      </c>
      <c r="E16" s="37"/>
      <c r="F16" s="37">
        <v>113</v>
      </c>
      <c r="G16" s="53"/>
      <c r="H16" s="53">
        <v>149</v>
      </c>
      <c r="I16" s="37"/>
      <c r="J16" s="39" t="s">
        <v>17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39" customHeight="1">
      <c r="A17" s="26">
        <v>45638</v>
      </c>
      <c r="B17" s="29">
        <v>23.2</v>
      </c>
      <c r="C17" s="37">
        <v>88</v>
      </c>
      <c r="D17" s="37">
        <v>138</v>
      </c>
      <c r="E17" s="37"/>
      <c r="F17" s="37">
        <v>100</v>
      </c>
      <c r="G17" s="53"/>
      <c r="H17" s="53">
        <v>122</v>
      </c>
      <c r="I17" s="3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39" customHeight="1">
      <c r="A18" s="26">
        <v>45639</v>
      </c>
      <c r="B18" s="29">
        <v>23.3</v>
      </c>
      <c r="C18" s="37">
        <v>94</v>
      </c>
      <c r="D18" s="37">
        <v>109</v>
      </c>
      <c r="E18" s="37"/>
      <c r="F18" s="37">
        <v>94</v>
      </c>
      <c r="G18" s="53"/>
      <c r="H18" s="53">
        <v>121</v>
      </c>
      <c r="I18" s="3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7" ht="39" customHeight="1">
      <c r="A19" s="26">
        <v>45640</v>
      </c>
      <c r="B19" s="29">
        <v>23.4</v>
      </c>
      <c r="C19" s="37">
        <v>88</v>
      </c>
      <c r="D19" s="37">
        <v>121</v>
      </c>
      <c r="E19" s="37"/>
      <c r="F19" s="37">
        <v>108</v>
      </c>
      <c r="G19" s="53"/>
      <c r="H19" s="53">
        <v>134</v>
      </c>
      <c r="I19" s="3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7" ht="39" customHeight="1">
      <c r="A20" s="26">
        <v>45641</v>
      </c>
      <c r="B20" s="29">
        <v>23.5</v>
      </c>
      <c r="C20" s="37">
        <v>94</v>
      </c>
      <c r="D20" s="37"/>
      <c r="E20" s="37"/>
      <c r="F20" s="37">
        <v>103</v>
      </c>
      <c r="G20" s="53"/>
      <c r="H20" s="53">
        <v>107</v>
      </c>
      <c r="I20" s="3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7" ht="39" customHeight="1">
      <c r="A21" s="26">
        <v>45642</v>
      </c>
      <c r="B21" s="29">
        <v>23.6</v>
      </c>
      <c r="C21" s="37">
        <v>98</v>
      </c>
      <c r="D21" s="37">
        <v>118</v>
      </c>
      <c r="E21" s="37"/>
      <c r="F21" s="37">
        <v>105</v>
      </c>
      <c r="G21" s="53"/>
      <c r="H21" s="53">
        <v>111</v>
      </c>
      <c r="I21" s="3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7" ht="39" customHeight="1">
      <c r="A22" s="26">
        <v>45643</v>
      </c>
      <c r="B22" s="29">
        <v>24</v>
      </c>
      <c r="C22" s="37">
        <v>97</v>
      </c>
      <c r="D22" s="37">
        <v>145</v>
      </c>
      <c r="E22" s="37"/>
      <c r="F22" s="37">
        <v>90</v>
      </c>
      <c r="G22" s="53"/>
      <c r="H22" s="53">
        <v>126</v>
      </c>
      <c r="I22" s="3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7" ht="39" customHeight="1">
      <c r="A23" s="26">
        <v>45644</v>
      </c>
      <c r="B23" s="29">
        <v>24.1</v>
      </c>
      <c r="C23" s="37">
        <v>94</v>
      </c>
      <c r="D23" s="37">
        <v>160</v>
      </c>
      <c r="E23" s="37"/>
      <c r="F23" s="37">
        <v>89</v>
      </c>
      <c r="G23" s="53"/>
      <c r="H23" s="53">
        <v>114</v>
      </c>
      <c r="I23" s="37"/>
      <c r="J23" s="39" t="s">
        <v>18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7" ht="39" customHeight="1">
      <c r="A24" s="26">
        <v>45645</v>
      </c>
      <c r="B24" s="29">
        <v>24.2</v>
      </c>
      <c r="C24" s="37">
        <v>103</v>
      </c>
      <c r="D24" s="37">
        <v>103</v>
      </c>
      <c r="E24" s="37"/>
      <c r="F24" s="37">
        <v>92</v>
      </c>
      <c r="G24" s="53"/>
      <c r="H24" s="53">
        <v>130</v>
      </c>
      <c r="I24" s="37"/>
      <c r="J24" s="39" t="s">
        <v>19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7" ht="39" customHeight="1">
      <c r="A25" s="26">
        <v>45646</v>
      </c>
      <c r="B25" s="29">
        <v>24.3</v>
      </c>
      <c r="C25" s="37">
        <v>100</v>
      </c>
      <c r="D25" s="37">
        <v>105</v>
      </c>
      <c r="E25" s="37"/>
      <c r="F25" s="37">
        <v>106</v>
      </c>
      <c r="G25" s="53"/>
      <c r="H25" s="53"/>
      <c r="I25" s="37"/>
      <c r="J25" s="5" t="s">
        <v>20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7" ht="39" customHeight="1">
      <c r="A26" s="26">
        <v>45647</v>
      </c>
      <c r="B26" s="29">
        <v>24.4</v>
      </c>
      <c r="C26" s="37">
        <v>86</v>
      </c>
      <c r="D26" s="37">
        <v>83</v>
      </c>
      <c r="E26" s="37"/>
      <c r="F26" s="37">
        <v>97</v>
      </c>
      <c r="G26" s="53"/>
      <c r="H26" s="53">
        <v>90</v>
      </c>
      <c r="I26" s="37"/>
      <c r="J26" s="5" t="s">
        <v>21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7" ht="39" customHeight="1">
      <c r="A27" s="26">
        <v>45648</v>
      </c>
      <c r="B27" s="29">
        <v>24.5</v>
      </c>
      <c r="C27" s="37">
        <v>86</v>
      </c>
      <c r="D27" s="37">
        <v>130</v>
      </c>
      <c r="E27" s="37"/>
      <c r="F27" s="37">
        <v>93</v>
      </c>
      <c r="G27" s="53"/>
      <c r="H27" s="53">
        <v>104</v>
      </c>
      <c r="I27" s="3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7" ht="39" customHeight="1">
      <c r="A28" s="26">
        <v>45649</v>
      </c>
      <c r="B28" s="29">
        <v>24.6</v>
      </c>
      <c r="C28" s="37">
        <v>97</v>
      </c>
      <c r="D28" s="37">
        <v>134</v>
      </c>
      <c r="E28" s="37"/>
      <c r="F28" s="37">
        <v>87</v>
      </c>
      <c r="G28" s="53"/>
      <c r="H28" s="53">
        <v>98</v>
      </c>
      <c r="I28" s="3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7" ht="39" customHeight="1">
      <c r="A29" s="26">
        <v>45650</v>
      </c>
      <c r="B29" s="29">
        <v>25</v>
      </c>
      <c r="C29" s="37">
        <v>85</v>
      </c>
      <c r="D29" s="37">
        <v>119</v>
      </c>
      <c r="E29" s="37"/>
      <c r="F29" s="37">
        <v>122</v>
      </c>
      <c r="G29" s="53"/>
      <c r="H29" s="53">
        <v>121</v>
      </c>
      <c r="I29" s="3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7" ht="39" customHeight="1">
      <c r="A30" s="26">
        <v>45651</v>
      </c>
      <c r="B30" s="29">
        <v>25.1</v>
      </c>
      <c r="C30" s="37"/>
      <c r="D30" s="37">
        <v>113</v>
      </c>
      <c r="E30" s="37"/>
      <c r="F30" s="37"/>
      <c r="G30" s="53"/>
      <c r="H30" s="53"/>
      <c r="I30" s="3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7" ht="39" customHeight="1">
      <c r="A31" s="26">
        <v>45652</v>
      </c>
      <c r="B31" s="29">
        <v>25.2</v>
      </c>
      <c r="C31" s="37">
        <v>78</v>
      </c>
      <c r="D31" s="37">
        <v>117</v>
      </c>
      <c r="E31" s="37"/>
      <c r="F31" s="37">
        <v>114</v>
      </c>
      <c r="G31" s="53"/>
      <c r="H31" s="53">
        <v>107</v>
      </c>
      <c r="I31" s="37"/>
      <c r="J31" s="39" t="s">
        <v>17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7" ht="39" customHeight="1">
      <c r="A32" s="26">
        <v>45653</v>
      </c>
      <c r="B32" s="29">
        <v>25.3</v>
      </c>
      <c r="C32" s="37">
        <v>97</v>
      </c>
      <c r="D32" s="37">
        <v>130</v>
      </c>
      <c r="E32" s="37"/>
      <c r="F32" s="37">
        <v>96</v>
      </c>
      <c r="G32" s="53"/>
      <c r="H32" s="53">
        <v>112</v>
      </c>
      <c r="I32" s="3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15" ht="39" customHeight="1">
      <c r="A33" s="26">
        <v>45654</v>
      </c>
      <c r="B33" s="29">
        <v>25.4</v>
      </c>
      <c r="C33" s="37">
        <v>82</v>
      </c>
      <c r="D33" s="37">
        <v>122</v>
      </c>
      <c r="E33" s="37"/>
      <c r="F33" s="37">
        <v>102</v>
      </c>
      <c r="G33" s="53"/>
      <c r="H33" s="53">
        <v>120</v>
      </c>
      <c r="I33" s="37"/>
    </row>
    <row r="34" spans="1:15" ht="39" customHeight="1">
      <c r="A34" s="26">
        <v>45655</v>
      </c>
      <c r="B34" s="29">
        <v>25.5</v>
      </c>
      <c r="C34" s="37">
        <v>96</v>
      </c>
      <c r="D34" s="37">
        <v>142</v>
      </c>
      <c r="E34" s="37"/>
      <c r="F34" s="37">
        <v>112</v>
      </c>
      <c r="G34" s="53"/>
      <c r="H34" s="53">
        <v>117</v>
      </c>
      <c r="I34" s="37"/>
    </row>
    <row r="35" spans="1:15" ht="39" customHeight="1">
      <c r="A35" s="26">
        <v>45656</v>
      </c>
      <c r="B35" s="29">
        <v>25.6</v>
      </c>
      <c r="C35" s="37">
        <v>96</v>
      </c>
      <c r="D35" s="37">
        <v>131</v>
      </c>
      <c r="E35" s="37"/>
      <c r="F35" s="37">
        <v>113</v>
      </c>
      <c r="G35" s="53"/>
      <c r="H35" s="53"/>
      <c r="I35" s="37"/>
      <c r="J35" s="39" t="s">
        <v>22</v>
      </c>
    </row>
    <row r="36" spans="1:15" ht="39" customHeight="1">
      <c r="A36" s="26">
        <v>45657</v>
      </c>
      <c r="B36" s="29">
        <v>26</v>
      </c>
      <c r="C36" s="37">
        <v>90</v>
      </c>
      <c r="D36" s="37">
        <v>144</v>
      </c>
      <c r="E36" s="37"/>
      <c r="F36" s="37">
        <v>120</v>
      </c>
      <c r="G36" s="53"/>
      <c r="H36" s="53">
        <v>130</v>
      </c>
      <c r="I36" s="37"/>
    </row>
    <row r="37" spans="1:15" ht="39" customHeight="1">
      <c r="A37" s="26">
        <v>45658</v>
      </c>
      <c r="B37" s="29">
        <v>26.1</v>
      </c>
      <c r="C37" s="37">
        <v>92</v>
      </c>
      <c r="D37" s="37">
        <v>135</v>
      </c>
      <c r="E37" s="37"/>
      <c r="F37" s="37">
        <v>120</v>
      </c>
      <c r="G37" s="53"/>
      <c r="H37" s="53">
        <v>94</v>
      </c>
      <c r="I37" s="37"/>
    </row>
    <row r="38" spans="1:15" ht="39" customHeight="1">
      <c r="A38" s="26">
        <v>45659</v>
      </c>
      <c r="B38" s="29">
        <v>26.2</v>
      </c>
      <c r="C38" s="37">
        <v>88</v>
      </c>
      <c r="D38" s="37">
        <v>141</v>
      </c>
      <c r="E38" s="37"/>
      <c r="F38" s="37">
        <v>127</v>
      </c>
      <c r="G38" s="53"/>
      <c r="H38" s="53">
        <v>106</v>
      </c>
      <c r="I38" s="37"/>
    </row>
    <row r="39" spans="1:15" ht="39" customHeight="1">
      <c r="A39" s="26">
        <v>45660</v>
      </c>
      <c r="B39" s="29">
        <v>26.3</v>
      </c>
      <c r="C39" s="37">
        <v>96</v>
      </c>
      <c r="D39" s="37">
        <v>125</v>
      </c>
      <c r="E39" s="37"/>
      <c r="F39" s="37">
        <v>127</v>
      </c>
      <c r="G39" s="53"/>
      <c r="H39" s="53">
        <v>132</v>
      </c>
      <c r="I39" s="37"/>
    </row>
    <row r="40" spans="1:15" ht="39" customHeight="1">
      <c r="A40" s="26">
        <v>45661</v>
      </c>
      <c r="B40" s="29">
        <v>26.4</v>
      </c>
      <c r="C40" s="37">
        <v>84</v>
      </c>
      <c r="D40" s="37">
        <v>132</v>
      </c>
      <c r="E40" s="37"/>
      <c r="F40" s="37"/>
      <c r="G40" s="53"/>
      <c r="H40" s="53">
        <v>131</v>
      </c>
      <c r="I40" s="37"/>
    </row>
    <row r="41" spans="1:15" ht="39" customHeight="1">
      <c r="A41" s="26">
        <v>45662</v>
      </c>
      <c r="B41" s="29">
        <v>26.5</v>
      </c>
      <c r="C41" s="37">
        <v>93</v>
      </c>
      <c r="D41" s="37">
        <v>152</v>
      </c>
      <c r="E41" s="37"/>
      <c r="F41" s="37">
        <v>103</v>
      </c>
      <c r="G41" s="53"/>
      <c r="H41" s="53">
        <v>111</v>
      </c>
      <c r="I41" s="37"/>
    </row>
    <row r="42" spans="1:15" ht="39" customHeight="1">
      <c r="A42" s="26">
        <v>45663</v>
      </c>
      <c r="B42" s="29">
        <v>26.6</v>
      </c>
      <c r="C42" s="37">
        <v>93</v>
      </c>
      <c r="D42" s="37">
        <v>128</v>
      </c>
      <c r="E42" s="37"/>
      <c r="F42" s="37">
        <v>118</v>
      </c>
      <c r="G42" s="53"/>
      <c r="H42" s="53">
        <v>111</v>
      </c>
      <c r="I42" s="37"/>
    </row>
    <row r="43" spans="1:15" ht="39" customHeight="1">
      <c r="A43" s="26">
        <v>45664</v>
      </c>
      <c r="B43" s="29">
        <v>27</v>
      </c>
      <c r="C43" s="37">
        <v>95</v>
      </c>
      <c r="D43" s="37">
        <v>123</v>
      </c>
      <c r="E43" s="37"/>
      <c r="F43" s="37">
        <v>108</v>
      </c>
      <c r="G43" s="53"/>
      <c r="H43" s="53">
        <v>120</v>
      </c>
      <c r="I43" s="37"/>
    </row>
    <row r="44" spans="1:15" ht="39" customHeight="1">
      <c r="A44" s="26">
        <v>45665</v>
      </c>
      <c r="B44" s="29">
        <v>27.1</v>
      </c>
      <c r="C44" s="37">
        <v>96</v>
      </c>
      <c r="D44" s="37">
        <v>100</v>
      </c>
      <c r="E44" s="37"/>
      <c r="F44" s="37">
        <v>117</v>
      </c>
      <c r="G44" s="53"/>
      <c r="H44" s="53"/>
      <c r="I44" s="37"/>
      <c r="J44" s="40" t="s">
        <v>18</v>
      </c>
    </row>
    <row r="45" spans="1:15" ht="39" customHeight="1">
      <c r="A45" s="26">
        <v>45666</v>
      </c>
      <c r="B45" s="29">
        <v>27.2</v>
      </c>
      <c r="C45" s="37">
        <v>96</v>
      </c>
      <c r="D45" s="37"/>
      <c r="E45" s="37"/>
      <c r="F45" s="37">
        <v>100</v>
      </c>
      <c r="G45" s="53"/>
      <c r="H45" s="53">
        <v>136</v>
      </c>
      <c r="I45" s="37"/>
      <c r="J45" s="1" t="s">
        <v>23</v>
      </c>
      <c r="K45" s="47" t="s">
        <v>24</v>
      </c>
    </row>
    <row r="46" spans="1:15" ht="39" customHeight="1">
      <c r="A46" s="26">
        <v>45667</v>
      </c>
      <c r="B46" s="29">
        <v>27.3</v>
      </c>
      <c r="C46" s="37">
        <v>85</v>
      </c>
      <c r="D46" s="37">
        <v>155</v>
      </c>
      <c r="E46" s="37"/>
      <c r="F46" s="37">
        <v>123</v>
      </c>
      <c r="G46" s="53"/>
      <c r="H46" s="53">
        <v>133</v>
      </c>
      <c r="I46" s="37"/>
      <c r="J46" s="1" t="s">
        <v>25</v>
      </c>
    </row>
    <row r="47" spans="1:15" ht="39" customHeight="1">
      <c r="A47" s="26">
        <v>45668</v>
      </c>
      <c r="B47" s="29">
        <v>27.4</v>
      </c>
      <c r="C47" s="37">
        <v>90</v>
      </c>
      <c r="D47" s="37">
        <v>128</v>
      </c>
      <c r="E47" s="37"/>
      <c r="F47" s="37">
        <v>123</v>
      </c>
      <c r="G47" s="53"/>
      <c r="H47" s="53">
        <v>121</v>
      </c>
      <c r="I47" s="37"/>
      <c r="J47" s="1" t="s">
        <v>26</v>
      </c>
      <c r="O47" s="1" t="s">
        <v>27</v>
      </c>
    </row>
    <row r="48" spans="1:15" ht="39" customHeight="1">
      <c r="A48" s="26">
        <v>45669</v>
      </c>
      <c r="B48" s="29">
        <v>27.5</v>
      </c>
      <c r="C48" s="37">
        <v>88</v>
      </c>
      <c r="D48" s="37">
        <v>126</v>
      </c>
      <c r="E48" s="37"/>
      <c r="F48" s="37">
        <v>131</v>
      </c>
      <c r="G48" s="53"/>
      <c r="H48" s="53">
        <v>152</v>
      </c>
      <c r="I48" s="37"/>
    </row>
    <row r="49" spans="1:10" ht="39" customHeight="1">
      <c r="A49" s="26">
        <v>45670</v>
      </c>
      <c r="B49" s="29">
        <v>27.6</v>
      </c>
      <c r="C49" s="37">
        <v>91</v>
      </c>
      <c r="D49" s="37">
        <v>103</v>
      </c>
      <c r="E49" s="37"/>
      <c r="F49" s="37">
        <v>104</v>
      </c>
      <c r="G49" s="53"/>
      <c r="H49" s="53">
        <v>135</v>
      </c>
      <c r="I49" s="37"/>
      <c r="J49" s="1" t="s">
        <v>28</v>
      </c>
    </row>
    <row r="50" spans="1:10" ht="39" customHeight="1">
      <c r="A50" s="26">
        <v>45671</v>
      </c>
      <c r="B50" s="29">
        <v>28</v>
      </c>
      <c r="C50" s="37">
        <v>82</v>
      </c>
      <c r="D50" s="37">
        <v>121</v>
      </c>
      <c r="E50" s="37"/>
      <c r="F50" s="37">
        <v>108</v>
      </c>
      <c r="G50" s="53"/>
      <c r="H50" s="53">
        <v>131</v>
      </c>
      <c r="I50" s="37"/>
    </row>
    <row r="51" spans="1:10" ht="39" customHeight="1">
      <c r="A51" s="26">
        <v>45672</v>
      </c>
      <c r="B51" s="29">
        <v>28.1</v>
      </c>
      <c r="C51" s="37">
        <v>88</v>
      </c>
      <c r="D51" s="37">
        <v>133</v>
      </c>
      <c r="E51" s="37"/>
      <c r="F51" s="37">
        <v>106</v>
      </c>
      <c r="G51" s="53"/>
      <c r="H51" s="53">
        <v>122</v>
      </c>
      <c r="I51" s="37"/>
      <c r="J51" s="40" t="s">
        <v>29</v>
      </c>
    </row>
    <row r="52" spans="1:10" ht="39" customHeight="1">
      <c r="A52" s="26">
        <v>45673</v>
      </c>
      <c r="B52" s="29">
        <v>28.2</v>
      </c>
      <c r="C52" s="37">
        <v>83</v>
      </c>
      <c r="D52" s="37">
        <v>122</v>
      </c>
      <c r="E52" s="37"/>
      <c r="F52" s="37">
        <v>115</v>
      </c>
      <c r="G52" s="53"/>
      <c r="H52" s="53">
        <v>102</v>
      </c>
      <c r="I52" s="37"/>
    </row>
    <row r="53" spans="1:10" ht="39" customHeight="1">
      <c r="A53" s="26">
        <v>45674</v>
      </c>
      <c r="B53" s="29">
        <v>28.3</v>
      </c>
      <c r="C53" s="37">
        <v>75</v>
      </c>
      <c r="D53" s="37">
        <v>123</v>
      </c>
      <c r="E53" s="37"/>
      <c r="F53" s="37">
        <v>126</v>
      </c>
      <c r="G53" s="53"/>
      <c r="H53" s="53">
        <v>121</v>
      </c>
      <c r="I53" s="37"/>
    </row>
    <row r="54" spans="1:10" ht="39" customHeight="1">
      <c r="A54" s="26">
        <v>45675</v>
      </c>
      <c r="B54" s="29">
        <v>28.4</v>
      </c>
      <c r="C54" s="37">
        <v>81</v>
      </c>
      <c r="D54" s="37">
        <v>103</v>
      </c>
      <c r="E54" s="37"/>
      <c r="F54" s="37">
        <v>116</v>
      </c>
      <c r="G54" s="53"/>
      <c r="H54" s="53">
        <v>109</v>
      </c>
      <c r="I54" s="37"/>
    </row>
    <row r="55" spans="1:10" ht="39" customHeight="1">
      <c r="A55" s="26">
        <v>45676</v>
      </c>
      <c r="B55" s="29">
        <v>28.5</v>
      </c>
      <c r="C55" s="37">
        <v>88</v>
      </c>
      <c r="D55" s="37">
        <v>129</v>
      </c>
      <c r="E55" s="37"/>
      <c r="F55" s="37">
        <v>119</v>
      </c>
      <c r="G55" s="53"/>
      <c r="H55" s="53">
        <v>116</v>
      </c>
      <c r="I55" s="37"/>
    </row>
    <row r="56" spans="1:10" ht="39" customHeight="1">
      <c r="A56" s="26">
        <v>45677</v>
      </c>
      <c r="B56" s="29">
        <v>28.6</v>
      </c>
      <c r="C56" s="37">
        <v>83</v>
      </c>
      <c r="D56" s="37">
        <v>161</v>
      </c>
      <c r="E56" s="37"/>
      <c r="F56" s="37">
        <v>98</v>
      </c>
      <c r="G56" s="53"/>
      <c r="H56" s="53">
        <v>139</v>
      </c>
      <c r="I56" s="37"/>
    </row>
    <row r="57" spans="1:10" ht="39" customHeight="1">
      <c r="A57" s="26">
        <v>45678</v>
      </c>
      <c r="B57" s="29">
        <v>29</v>
      </c>
      <c r="C57" s="37">
        <v>86</v>
      </c>
      <c r="D57" s="37">
        <v>117</v>
      </c>
      <c r="E57" s="37"/>
      <c r="F57" s="37">
        <v>140</v>
      </c>
      <c r="G57" s="53"/>
      <c r="H57" s="53">
        <v>123</v>
      </c>
      <c r="I57" s="37"/>
    </row>
    <row r="58" spans="1:10" ht="39" customHeight="1">
      <c r="A58" s="26">
        <v>45679</v>
      </c>
      <c r="B58" s="29">
        <v>29.1</v>
      </c>
      <c r="C58" s="37">
        <v>86</v>
      </c>
      <c r="D58" s="37">
        <v>89</v>
      </c>
      <c r="E58" s="37"/>
      <c r="F58" s="37">
        <v>120</v>
      </c>
      <c r="G58" s="53"/>
      <c r="H58" s="53">
        <v>131</v>
      </c>
      <c r="I58" s="37"/>
    </row>
    <row r="59" spans="1:10" ht="39" customHeight="1">
      <c r="A59" s="26">
        <v>45680</v>
      </c>
      <c r="B59" s="29">
        <v>29.2</v>
      </c>
      <c r="C59" s="37">
        <v>78</v>
      </c>
      <c r="D59" s="37">
        <v>100</v>
      </c>
      <c r="E59" s="37"/>
      <c r="F59" s="37">
        <v>107</v>
      </c>
      <c r="G59" s="53"/>
      <c r="H59" s="53">
        <v>114</v>
      </c>
      <c r="I59" s="37"/>
    </row>
    <row r="60" spans="1:10" ht="39" customHeight="1">
      <c r="A60" s="26">
        <v>45681</v>
      </c>
      <c r="B60" s="29">
        <v>29.3</v>
      </c>
      <c r="C60" s="37">
        <v>74</v>
      </c>
      <c r="D60" s="37">
        <v>156</v>
      </c>
      <c r="E60" s="37"/>
      <c r="F60" s="37">
        <v>110</v>
      </c>
      <c r="G60" s="53"/>
      <c r="H60" s="53">
        <v>120</v>
      </c>
      <c r="I60" s="37"/>
    </row>
    <row r="61" spans="1:10" ht="39" customHeight="1">
      <c r="A61" s="26">
        <v>45682</v>
      </c>
      <c r="B61" s="29">
        <v>29.4</v>
      </c>
      <c r="C61" s="37">
        <v>77</v>
      </c>
      <c r="D61" s="37">
        <v>100</v>
      </c>
      <c r="E61" s="37"/>
      <c r="F61" s="37">
        <v>105</v>
      </c>
      <c r="G61" s="53"/>
      <c r="H61" s="53">
        <v>118</v>
      </c>
      <c r="I61" s="37"/>
    </row>
    <row r="62" spans="1:10" ht="39" customHeight="1">
      <c r="A62" s="26">
        <v>45683</v>
      </c>
      <c r="B62" s="29">
        <v>29.5</v>
      </c>
      <c r="C62" s="37">
        <v>71</v>
      </c>
      <c r="D62" s="37">
        <v>119</v>
      </c>
      <c r="E62" s="37"/>
      <c r="F62" s="37">
        <v>111</v>
      </c>
      <c r="G62" s="53"/>
      <c r="H62" s="53">
        <v>113</v>
      </c>
      <c r="I62" s="37"/>
    </row>
    <row r="63" spans="1:10" ht="39" customHeight="1">
      <c r="A63" s="26">
        <v>45684</v>
      </c>
      <c r="B63" s="29">
        <v>29.6</v>
      </c>
      <c r="C63" s="37">
        <v>81</v>
      </c>
      <c r="D63" s="37">
        <v>114</v>
      </c>
      <c r="E63" s="37"/>
      <c r="F63" s="37">
        <v>112</v>
      </c>
      <c r="G63" s="53"/>
      <c r="H63" s="53">
        <v>121</v>
      </c>
      <c r="I63" s="37"/>
    </row>
    <row r="64" spans="1:10" ht="39" customHeight="1">
      <c r="A64" s="26">
        <v>45685</v>
      </c>
      <c r="B64" s="29">
        <v>30</v>
      </c>
      <c r="C64" s="37">
        <v>80</v>
      </c>
      <c r="D64" s="37">
        <v>110</v>
      </c>
      <c r="E64" s="37"/>
      <c r="F64" s="37">
        <v>114</v>
      </c>
      <c r="G64" s="53"/>
      <c r="H64" s="53">
        <v>110</v>
      </c>
      <c r="I64" s="37"/>
    </row>
    <row r="65" spans="1:10" ht="39" customHeight="1">
      <c r="A65" s="26">
        <v>45686</v>
      </c>
      <c r="B65" s="29">
        <v>30.1</v>
      </c>
      <c r="C65" s="37">
        <v>77</v>
      </c>
      <c r="D65" s="37">
        <v>139</v>
      </c>
      <c r="E65" s="37"/>
      <c r="F65" s="37">
        <v>97</v>
      </c>
      <c r="G65" s="53"/>
      <c r="H65" s="53">
        <v>121</v>
      </c>
      <c r="I65" s="37"/>
    </row>
    <row r="66" spans="1:10" ht="39" customHeight="1">
      <c r="A66" s="26">
        <v>45687</v>
      </c>
      <c r="B66" s="29">
        <v>30.2</v>
      </c>
      <c r="C66" s="37">
        <v>81</v>
      </c>
      <c r="D66" s="37">
        <v>93</v>
      </c>
      <c r="E66" s="37"/>
      <c r="F66" s="37">
        <v>99</v>
      </c>
      <c r="G66" s="53"/>
      <c r="H66" s="53">
        <v>112</v>
      </c>
      <c r="I66" s="37"/>
    </row>
    <row r="67" spans="1:10" ht="39" customHeight="1">
      <c r="A67" s="26">
        <v>45688</v>
      </c>
      <c r="B67" s="29">
        <v>30.3</v>
      </c>
      <c r="C67" s="37">
        <v>79</v>
      </c>
      <c r="D67" s="37">
        <v>74</v>
      </c>
      <c r="E67" s="37"/>
      <c r="F67" s="37">
        <v>91</v>
      </c>
      <c r="G67" s="53"/>
      <c r="H67" s="53">
        <v>101</v>
      </c>
      <c r="I67" s="37"/>
    </row>
    <row r="68" spans="1:10" ht="39" customHeight="1">
      <c r="A68" s="26">
        <v>45689</v>
      </c>
      <c r="B68" s="29">
        <v>30.4</v>
      </c>
      <c r="C68" s="37">
        <v>82</v>
      </c>
      <c r="D68" s="37">
        <v>128</v>
      </c>
      <c r="E68" s="37"/>
      <c r="F68" s="37">
        <v>88</v>
      </c>
      <c r="G68" s="53"/>
      <c r="H68" s="53"/>
      <c r="I68" s="37"/>
    </row>
    <row r="69" spans="1:10" ht="39" customHeight="1">
      <c r="A69" s="26">
        <v>45690</v>
      </c>
      <c r="B69" s="29">
        <v>30.5</v>
      </c>
      <c r="C69" s="37">
        <v>68</v>
      </c>
      <c r="D69" s="37">
        <v>90</v>
      </c>
      <c r="E69" s="37"/>
      <c r="F69" s="37">
        <v>96</v>
      </c>
      <c r="G69" s="53"/>
      <c r="H69" s="53">
        <v>128</v>
      </c>
      <c r="I69" s="37"/>
    </row>
    <row r="70" spans="1:10" ht="39" customHeight="1">
      <c r="A70" s="26">
        <v>45691</v>
      </c>
      <c r="B70" s="29">
        <v>30.6</v>
      </c>
      <c r="C70" s="37">
        <v>81</v>
      </c>
      <c r="D70" s="37">
        <v>89</v>
      </c>
      <c r="E70" s="37"/>
      <c r="F70" s="37">
        <v>107</v>
      </c>
      <c r="G70" s="53"/>
      <c r="H70" s="53">
        <v>96</v>
      </c>
      <c r="I70" s="37"/>
    </row>
    <row r="71" spans="1:10" ht="39" customHeight="1">
      <c r="A71" s="26">
        <v>45692</v>
      </c>
      <c r="B71" s="29">
        <v>31</v>
      </c>
      <c r="C71" s="37">
        <v>75</v>
      </c>
      <c r="D71" s="37">
        <v>79</v>
      </c>
      <c r="E71" s="37"/>
      <c r="F71" s="37">
        <v>84</v>
      </c>
      <c r="G71" s="53"/>
      <c r="H71" s="53">
        <v>101</v>
      </c>
      <c r="I71" s="37"/>
    </row>
    <row r="72" spans="1:10" ht="39" customHeight="1">
      <c r="A72" s="26">
        <v>45693</v>
      </c>
      <c r="B72" s="29">
        <v>31.1</v>
      </c>
      <c r="C72" s="37">
        <v>72</v>
      </c>
      <c r="D72" s="37">
        <v>81</v>
      </c>
      <c r="E72" s="37"/>
      <c r="F72" s="37">
        <v>75</v>
      </c>
      <c r="G72" s="53"/>
      <c r="H72" s="53">
        <v>156</v>
      </c>
      <c r="I72" s="37"/>
      <c r="J72" s="41" t="s">
        <v>30</v>
      </c>
    </row>
    <row r="73" spans="1:10" ht="39" customHeight="1">
      <c r="A73" s="26">
        <v>45694</v>
      </c>
      <c r="B73" s="29">
        <v>31.2</v>
      </c>
      <c r="C73" s="37">
        <v>73</v>
      </c>
      <c r="D73" s="37">
        <v>85</v>
      </c>
      <c r="E73" s="37"/>
      <c r="F73" s="37">
        <v>87</v>
      </c>
      <c r="G73" s="53"/>
      <c r="H73" s="53">
        <v>94</v>
      </c>
      <c r="I73" s="37"/>
    </row>
    <row r="74" spans="1:10" ht="39" customHeight="1">
      <c r="A74" s="26">
        <v>45695</v>
      </c>
      <c r="B74" s="29">
        <v>31.3</v>
      </c>
      <c r="C74" s="37">
        <v>71</v>
      </c>
      <c r="D74" s="37">
        <v>86</v>
      </c>
      <c r="E74" s="37"/>
      <c r="F74" s="37">
        <v>102</v>
      </c>
      <c r="G74" s="53"/>
      <c r="H74" s="53">
        <v>96</v>
      </c>
      <c r="I74" s="37"/>
    </row>
    <row r="75" spans="1:10" ht="39" customHeight="1">
      <c r="A75" s="26">
        <v>45696</v>
      </c>
      <c r="B75" s="29">
        <v>31.4</v>
      </c>
      <c r="C75" s="37">
        <v>76</v>
      </c>
      <c r="D75" s="37">
        <v>82</v>
      </c>
      <c r="E75" s="37"/>
      <c r="F75" s="37">
        <v>110</v>
      </c>
      <c r="G75" s="53"/>
      <c r="H75" s="53">
        <v>115</v>
      </c>
      <c r="I75" s="37"/>
    </row>
    <row r="76" spans="1:10" ht="39" customHeight="1">
      <c r="A76" s="26">
        <v>45697</v>
      </c>
      <c r="B76" s="29">
        <v>31.5</v>
      </c>
      <c r="C76" s="37">
        <v>86</v>
      </c>
      <c r="D76" s="37">
        <v>91</v>
      </c>
      <c r="E76" s="37"/>
      <c r="F76" s="42"/>
      <c r="G76" s="58"/>
      <c r="H76" s="30">
        <v>95</v>
      </c>
      <c r="I76" s="31"/>
      <c r="J76" t="s">
        <v>31</v>
      </c>
    </row>
    <row r="77" spans="1:10" ht="39" customHeight="1">
      <c r="A77" s="26">
        <v>45698</v>
      </c>
      <c r="B77" s="29">
        <v>31.6</v>
      </c>
      <c r="C77" s="37">
        <v>76</v>
      </c>
      <c r="D77" s="37">
        <v>84</v>
      </c>
      <c r="E77" s="37"/>
      <c r="F77" s="42">
        <v>91</v>
      </c>
      <c r="G77" s="58"/>
      <c r="H77" s="30">
        <v>100</v>
      </c>
      <c r="I77" s="31"/>
      <c r="J77" s="1" t="s">
        <v>31</v>
      </c>
    </row>
    <row r="78" spans="1:10" ht="39" customHeight="1">
      <c r="A78" s="26">
        <v>45699</v>
      </c>
      <c r="B78" s="29">
        <v>32</v>
      </c>
      <c r="C78" s="37">
        <v>67</v>
      </c>
      <c r="D78" s="37">
        <v>93</v>
      </c>
      <c r="E78" s="37"/>
      <c r="F78" s="42">
        <v>98</v>
      </c>
      <c r="G78" s="58"/>
      <c r="H78" s="30">
        <v>114</v>
      </c>
      <c r="I78" s="31"/>
      <c r="J78" s="47" t="s">
        <v>32</v>
      </c>
    </row>
    <row r="79" spans="1:10" ht="39" customHeight="1">
      <c r="A79" s="26">
        <v>45700</v>
      </c>
      <c r="B79" s="29">
        <v>32.1</v>
      </c>
      <c r="C79" s="37">
        <v>80</v>
      </c>
      <c r="D79" s="37">
        <v>74</v>
      </c>
      <c r="E79" s="37"/>
      <c r="F79" s="42">
        <v>108</v>
      </c>
      <c r="G79" s="58"/>
      <c r="H79" s="30">
        <v>109</v>
      </c>
      <c r="I79" s="31"/>
      <c r="J79" s="41" t="s">
        <v>33</v>
      </c>
    </row>
    <row r="80" spans="1:10" ht="39" customHeight="1">
      <c r="A80" s="26">
        <v>45701</v>
      </c>
      <c r="B80" s="29">
        <v>32.200000000000003</v>
      </c>
      <c r="C80" s="37">
        <v>79</v>
      </c>
      <c r="D80" s="37">
        <v>83</v>
      </c>
      <c r="E80" s="37"/>
      <c r="F80" s="42">
        <v>131</v>
      </c>
      <c r="G80" s="58"/>
      <c r="H80" s="30">
        <v>92</v>
      </c>
      <c r="I80" s="31"/>
    </row>
    <row r="81" spans="1:10" ht="39" customHeight="1">
      <c r="A81" s="26">
        <v>45702</v>
      </c>
      <c r="B81" s="29">
        <v>32.299999999999997</v>
      </c>
      <c r="C81" s="37">
        <v>74</v>
      </c>
      <c r="D81" s="37">
        <v>102</v>
      </c>
      <c r="E81" s="37"/>
      <c r="F81" s="42">
        <v>137</v>
      </c>
      <c r="G81" s="58"/>
      <c r="H81" s="30">
        <v>105</v>
      </c>
      <c r="I81" s="31"/>
    </row>
    <row r="82" spans="1:10" ht="39" customHeight="1">
      <c r="A82" s="26">
        <v>45703</v>
      </c>
      <c r="B82" s="29">
        <v>32.4</v>
      </c>
      <c r="C82" s="37">
        <v>76</v>
      </c>
      <c r="D82" s="37">
        <v>107</v>
      </c>
      <c r="E82" s="37"/>
      <c r="F82" s="42">
        <v>104</v>
      </c>
      <c r="G82" s="58"/>
      <c r="H82" s="30">
        <v>102</v>
      </c>
      <c r="I82" s="31"/>
    </row>
    <row r="83" spans="1:10" ht="39" customHeight="1">
      <c r="A83" s="26">
        <v>45704</v>
      </c>
      <c r="B83" s="29">
        <v>32.5</v>
      </c>
      <c r="C83" s="37">
        <v>84</v>
      </c>
      <c r="D83" s="37">
        <v>140</v>
      </c>
      <c r="E83" s="37"/>
      <c r="F83" s="42">
        <v>108</v>
      </c>
      <c r="G83" s="58"/>
      <c r="H83" s="30">
        <v>108</v>
      </c>
      <c r="I83" s="31"/>
    </row>
    <row r="84" spans="1:10" ht="39" customHeight="1">
      <c r="A84" s="26">
        <v>45705</v>
      </c>
      <c r="B84" s="29">
        <v>32.6</v>
      </c>
      <c r="C84" s="37">
        <v>78</v>
      </c>
      <c r="D84" s="37">
        <v>103</v>
      </c>
      <c r="E84" s="37"/>
      <c r="F84" s="42">
        <v>130</v>
      </c>
      <c r="G84" s="58"/>
      <c r="H84" s="30">
        <v>109</v>
      </c>
      <c r="I84" s="31"/>
      <c r="J84" s="1" t="s">
        <v>34</v>
      </c>
    </row>
    <row r="85" spans="1:10" ht="39" customHeight="1">
      <c r="A85" s="26">
        <v>45706</v>
      </c>
      <c r="B85" s="29">
        <v>33</v>
      </c>
      <c r="C85" s="37">
        <v>80</v>
      </c>
      <c r="D85" s="37">
        <v>108</v>
      </c>
      <c r="E85" s="37"/>
      <c r="F85" s="42">
        <v>96</v>
      </c>
      <c r="G85" s="58"/>
      <c r="H85" s="30">
        <v>107</v>
      </c>
      <c r="I85" s="31"/>
    </row>
    <row r="86" spans="1:10" ht="39" customHeight="1">
      <c r="A86" s="26">
        <v>45707</v>
      </c>
      <c r="B86" s="29">
        <v>33.1</v>
      </c>
      <c r="C86" s="37">
        <v>86</v>
      </c>
      <c r="D86" s="37">
        <v>118</v>
      </c>
      <c r="E86" s="37"/>
      <c r="F86" s="42">
        <v>96</v>
      </c>
      <c r="G86" s="58"/>
      <c r="H86" s="30">
        <v>118</v>
      </c>
      <c r="I86" s="31"/>
    </row>
    <row r="87" spans="1:10" ht="39" customHeight="1">
      <c r="A87" s="26">
        <v>45708</v>
      </c>
      <c r="B87" s="29">
        <v>33.200000000000003</v>
      </c>
      <c r="C87" s="37">
        <v>74</v>
      </c>
      <c r="D87" s="37">
        <v>137</v>
      </c>
      <c r="E87" s="37"/>
      <c r="F87" s="42">
        <v>104</v>
      </c>
      <c r="G87" s="58"/>
      <c r="H87" s="30">
        <v>114</v>
      </c>
      <c r="I87" s="31"/>
      <c r="J87" s="48" t="s">
        <v>35</v>
      </c>
    </row>
    <row r="88" spans="1:10" ht="39" customHeight="1">
      <c r="A88" s="26">
        <v>45709</v>
      </c>
      <c r="B88" s="29">
        <v>33.299999999999997</v>
      </c>
      <c r="C88" s="37">
        <v>66</v>
      </c>
      <c r="D88" s="37">
        <v>105</v>
      </c>
      <c r="E88" s="37"/>
      <c r="F88" s="42">
        <v>89</v>
      </c>
      <c r="G88" s="58"/>
      <c r="H88" s="30">
        <v>106</v>
      </c>
      <c r="I88" s="31"/>
    </row>
    <row r="89" spans="1:10" ht="39" customHeight="1">
      <c r="A89" s="26">
        <v>45710</v>
      </c>
      <c r="B89" s="29">
        <v>33.4</v>
      </c>
      <c r="C89" s="37">
        <v>80</v>
      </c>
      <c r="D89" s="37"/>
      <c r="E89" s="37"/>
      <c r="F89" s="42">
        <v>85</v>
      </c>
      <c r="G89" s="58"/>
      <c r="H89" s="30"/>
      <c r="I89" s="31"/>
    </row>
    <row r="90" spans="1:10" ht="39" customHeight="1">
      <c r="A90" s="26">
        <v>45711</v>
      </c>
      <c r="B90" s="29">
        <v>33.5</v>
      </c>
      <c r="C90" s="37">
        <v>69</v>
      </c>
      <c r="D90" s="37">
        <v>128</v>
      </c>
      <c r="E90" s="37"/>
      <c r="F90" s="42">
        <v>105</v>
      </c>
      <c r="G90" s="58"/>
      <c r="H90" s="30">
        <v>107</v>
      </c>
      <c r="I90" s="31"/>
    </row>
    <row r="91" spans="1:10" ht="39" customHeight="1">
      <c r="A91" s="26">
        <v>45712</v>
      </c>
      <c r="B91" s="29">
        <v>33.6</v>
      </c>
      <c r="C91" s="37">
        <v>79</v>
      </c>
      <c r="D91" s="37">
        <v>131</v>
      </c>
      <c r="E91" s="37"/>
      <c r="F91" s="42">
        <v>87</v>
      </c>
      <c r="G91" s="58"/>
      <c r="H91" s="30">
        <v>95</v>
      </c>
      <c r="I91" s="31"/>
    </row>
    <row r="92" spans="1:10" ht="39" customHeight="1">
      <c r="A92" s="26">
        <v>45713</v>
      </c>
      <c r="B92" s="29">
        <v>34</v>
      </c>
      <c r="C92" s="37">
        <v>76</v>
      </c>
      <c r="D92" s="37">
        <v>123</v>
      </c>
      <c r="E92" s="37"/>
      <c r="F92" s="42">
        <v>86</v>
      </c>
      <c r="G92" s="58"/>
      <c r="H92" s="30">
        <v>115</v>
      </c>
      <c r="I92" s="31">
        <v>73</v>
      </c>
    </row>
    <row r="93" spans="1:10" ht="39" customHeight="1">
      <c r="A93" s="26">
        <v>45714</v>
      </c>
      <c r="B93" s="29">
        <v>34.1</v>
      </c>
      <c r="C93" s="37">
        <v>77</v>
      </c>
      <c r="D93" s="37">
        <v>98</v>
      </c>
      <c r="E93" s="37"/>
      <c r="F93" s="42">
        <v>106</v>
      </c>
      <c r="G93" s="58"/>
      <c r="H93" s="30">
        <v>120</v>
      </c>
      <c r="I93" s="31"/>
      <c r="J93" s="63" t="s">
        <v>36</v>
      </c>
    </row>
    <row r="94" spans="1:10" ht="39" customHeight="1">
      <c r="A94" s="26">
        <v>45715</v>
      </c>
      <c r="B94" s="29">
        <v>34.200000000000003</v>
      </c>
      <c r="C94" s="37">
        <v>83</v>
      </c>
      <c r="D94" s="37">
        <v>118</v>
      </c>
      <c r="E94" s="37"/>
      <c r="F94" s="42">
        <v>107</v>
      </c>
      <c r="G94" s="58"/>
      <c r="H94" s="30">
        <v>109</v>
      </c>
      <c r="I94" s="31">
        <v>82</v>
      </c>
    </row>
    <row r="95" spans="1:10" ht="39" customHeight="1">
      <c r="A95" s="26">
        <v>45716</v>
      </c>
      <c r="B95" s="29">
        <v>34.299999999999997</v>
      </c>
      <c r="C95" s="37">
        <v>69</v>
      </c>
      <c r="D95" s="37">
        <v>103</v>
      </c>
      <c r="E95" s="37"/>
      <c r="F95" s="42">
        <v>88</v>
      </c>
      <c r="G95" s="58"/>
      <c r="H95" s="30">
        <v>89</v>
      </c>
      <c r="I95" s="31"/>
    </row>
    <row r="96" spans="1:10" ht="39" customHeight="1">
      <c r="A96" s="26">
        <v>45717</v>
      </c>
      <c r="B96" s="29">
        <v>34.4</v>
      </c>
      <c r="C96" s="37">
        <v>77</v>
      </c>
      <c r="D96" s="37">
        <v>113</v>
      </c>
      <c r="E96" s="37"/>
      <c r="F96" s="42">
        <v>94</v>
      </c>
      <c r="G96" s="58"/>
      <c r="H96" s="30"/>
      <c r="I96" s="31"/>
    </row>
    <row r="97" spans="1:10" ht="39" customHeight="1">
      <c r="A97" s="26">
        <v>45718</v>
      </c>
      <c r="B97" s="29">
        <v>34.5</v>
      </c>
      <c r="C97" s="37">
        <v>80</v>
      </c>
      <c r="D97" s="37">
        <v>143</v>
      </c>
      <c r="E97" s="37"/>
      <c r="F97" s="42">
        <v>106</v>
      </c>
      <c r="G97" s="58"/>
      <c r="H97" s="30">
        <v>110</v>
      </c>
      <c r="I97" s="31"/>
    </row>
    <row r="98" spans="1:10" ht="39" customHeight="1">
      <c r="A98" s="26">
        <v>45719</v>
      </c>
      <c r="B98" s="29">
        <v>34.6</v>
      </c>
      <c r="C98" s="37">
        <v>71</v>
      </c>
      <c r="D98" s="37">
        <v>126</v>
      </c>
      <c r="E98" s="37"/>
      <c r="F98" s="42"/>
      <c r="G98" s="58"/>
      <c r="H98" s="30">
        <v>120</v>
      </c>
      <c r="I98" s="31"/>
      <c r="J98" s="47" t="s">
        <v>37</v>
      </c>
    </row>
    <row r="99" spans="1:10" ht="39" customHeight="1">
      <c r="A99" s="26">
        <v>45720</v>
      </c>
      <c r="B99" s="29">
        <v>35</v>
      </c>
      <c r="C99" s="37">
        <v>81</v>
      </c>
      <c r="D99" s="37">
        <v>108</v>
      </c>
      <c r="E99" s="37"/>
      <c r="F99" s="42">
        <v>127</v>
      </c>
      <c r="G99" s="58"/>
      <c r="H99" s="30">
        <v>95</v>
      </c>
      <c r="I99" s="31">
        <v>85</v>
      </c>
    </row>
    <row r="100" spans="1:10" ht="39" customHeight="1">
      <c r="A100" s="26">
        <v>45721</v>
      </c>
      <c r="B100" s="29">
        <v>35.1</v>
      </c>
      <c r="C100" s="37">
        <v>72</v>
      </c>
      <c r="D100" s="37">
        <v>118</v>
      </c>
      <c r="E100" s="37"/>
      <c r="F100" s="42">
        <v>93</v>
      </c>
      <c r="G100" s="58"/>
      <c r="H100" s="30">
        <v>135</v>
      </c>
      <c r="I100" s="31">
        <v>79</v>
      </c>
      <c r="J100" s="64" t="s">
        <v>38</v>
      </c>
    </row>
    <row r="101" spans="1:10" ht="39" customHeight="1">
      <c r="A101" s="26">
        <v>45722</v>
      </c>
      <c r="B101" s="29">
        <v>35.200000000000003</v>
      </c>
      <c r="C101" s="37">
        <v>74</v>
      </c>
      <c r="D101" s="37">
        <v>123</v>
      </c>
      <c r="E101" s="37"/>
      <c r="F101" s="42">
        <v>123</v>
      </c>
      <c r="G101" s="58"/>
      <c r="H101" s="30">
        <v>119</v>
      </c>
      <c r="I101" s="31">
        <v>88</v>
      </c>
    </row>
    <row r="102" spans="1:10" ht="39" customHeight="1">
      <c r="A102" s="26">
        <v>45723</v>
      </c>
      <c r="B102" s="29">
        <v>35.299999999999997</v>
      </c>
      <c r="C102" s="37">
        <v>82</v>
      </c>
      <c r="D102" s="37">
        <v>110</v>
      </c>
      <c r="E102" s="37"/>
      <c r="F102" s="42">
        <v>93</v>
      </c>
      <c r="G102" s="58"/>
      <c r="H102" s="30">
        <v>96</v>
      </c>
      <c r="I102" s="31"/>
      <c r="J102" s="65" t="s">
        <v>39</v>
      </c>
    </row>
    <row r="103" spans="1:10" ht="39" customHeight="1">
      <c r="A103" s="26">
        <v>45724</v>
      </c>
      <c r="B103" s="29">
        <v>35.4</v>
      </c>
      <c r="C103" s="37">
        <v>80</v>
      </c>
      <c r="D103" s="37">
        <v>123</v>
      </c>
      <c r="E103" s="37"/>
      <c r="F103" s="42"/>
      <c r="G103" s="58"/>
      <c r="H103" s="30">
        <v>134</v>
      </c>
      <c r="I103" s="31">
        <v>78</v>
      </c>
    </row>
    <row r="104" spans="1:10" ht="39" customHeight="1">
      <c r="A104" s="26">
        <v>45725</v>
      </c>
      <c r="B104" s="29">
        <v>35.5</v>
      </c>
      <c r="C104" s="37">
        <v>75</v>
      </c>
      <c r="D104" s="37">
        <v>111</v>
      </c>
      <c r="E104" s="37"/>
      <c r="F104" s="42">
        <v>129</v>
      </c>
      <c r="G104" s="58"/>
      <c r="H104" s="30">
        <v>132</v>
      </c>
      <c r="I104" s="31"/>
    </row>
    <row r="105" spans="1:10" ht="39" customHeight="1">
      <c r="A105" s="26">
        <v>45726</v>
      </c>
      <c r="B105" s="29">
        <v>35.6</v>
      </c>
      <c r="C105" s="37">
        <v>81</v>
      </c>
      <c r="D105" s="37">
        <v>102</v>
      </c>
      <c r="E105" s="37"/>
      <c r="F105" s="42">
        <v>108</v>
      </c>
      <c r="G105" s="58"/>
      <c r="H105" s="30">
        <v>93</v>
      </c>
      <c r="I105" s="31">
        <v>92</v>
      </c>
    </row>
    <row r="106" spans="1:10" ht="39" customHeight="1">
      <c r="A106" s="26">
        <v>45727</v>
      </c>
      <c r="B106" s="29">
        <v>36</v>
      </c>
      <c r="C106" s="37"/>
      <c r="D106" s="37"/>
      <c r="E106" s="37"/>
      <c r="F106" s="42"/>
      <c r="G106" s="58"/>
      <c r="H106" s="30"/>
      <c r="I106" s="31"/>
    </row>
    <row r="107" spans="1:10" ht="39" customHeight="1">
      <c r="A107" s="26">
        <v>45728</v>
      </c>
      <c r="B107" s="29">
        <v>36.1</v>
      </c>
      <c r="C107" s="37"/>
      <c r="D107" s="37"/>
      <c r="E107" s="37"/>
      <c r="F107" s="42"/>
      <c r="G107" s="58"/>
      <c r="H107" s="30"/>
      <c r="I107" s="31"/>
    </row>
    <row r="108" spans="1:10" ht="39" customHeight="1">
      <c r="A108" s="26">
        <v>45729</v>
      </c>
      <c r="B108" s="29">
        <v>36.200000000000003</v>
      </c>
      <c r="C108" s="37"/>
      <c r="D108" s="37"/>
      <c r="E108" s="37"/>
      <c r="F108" s="42"/>
      <c r="G108" s="58"/>
      <c r="H108" s="30"/>
      <c r="I108" s="31"/>
    </row>
    <row r="109" spans="1:10" ht="39" customHeight="1">
      <c r="A109" s="26">
        <v>45730</v>
      </c>
      <c r="B109" s="29">
        <v>36.299999999999997</v>
      </c>
      <c r="C109" s="37"/>
      <c r="D109" s="37"/>
      <c r="E109" s="37"/>
      <c r="F109" s="42"/>
      <c r="G109" s="58"/>
      <c r="H109" s="30"/>
      <c r="I109" s="31"/>
    </row>
    <row r="110" spans="1:10" ht="39" customHeight="1">
      <c r="A110" s="26">
        <v>45731</v>
      </c>
      <c r="B110" s="29">
        <v>36.4</v>
      </c>
      <c r="C110" s="37"/>
      <c r="D110" s="37"/>
      <c r="E110" s="37"/>
      <c r="F110" s="42"/>
      <c r="G110" s="58"/>
      <c r="H110" s="30"/>
      <c r="I110" s="31"/>
    </row>
    <row r="111" spans="1:10" ht="39" customHeight="1">
      <c r="A111" s="26">
        <v>45732</v>
      </c>
      <c r="B111" s="29">
        <v>36.5</v>
      </c>
      <c r="C111" s="37"/>
      <c r="D111" s="37"/>
      <c r="E111" s="37"/>
      <c r="F111" s="42"/>
      <c r="G111" s="58"/>
      <c r="H111" s="30"/>
      <c r="I111" s="31"/>
    </row>
    <row r="112" spans="1:10" ht="39" customHeight="1">
      <c r="A112" s="26">
        <v>45733</v>
      </c>
      <c r="B112" s="29">
        <v>36.6</v>
      </c>
      <c r="C112" s="37"/>
      <c r="D112" s="37"/>
      <c r="E112" s="37"/>
      <c r="F112" s="42"/>
      <c r="G112" s="58"/>
      <c r="H112" s="30"/>
      <c r="I112" s="31"/>
    </row>
    <row r="113" spans="1:10" ht="39" customHeight="1">
      <c r="A113" s="26">
        <v>45734</v>
      </c>
      <c r="B113" s="29">
        <v>37</v>
      </c>
      <c r="C113" s="37"/>
      <c r="D113" s="37"/>
      <c r="E113" s="37"/>
      <c r="F113" s="42"/>
      <c r="G113" s="58"/>
      <c r="H113" s="30"/>
      <c r="I113" s="31"/>
    </row>
    <row r="114" spans="1:10" ht="39" customHeight="1">
      <c r="A114" s="26">
        <v>45735</v>
      </c>
      <c r="B114" s="29">
        <v>37.1</v>
      </c>
      <c r="C114" s="37"/>
      <c r="D114" s="37"/>
      <c r="E114" s="37"/>
      <c r="F114" s="42"/>
      <c r="G114" s="58"/>
      <c r="H114" s="30"/>
      <c r="I114" s="31"/>
    </row>
    <row r="115" spans="1:10" ht="39" customHeight="1">
      <c r="A115" s="26">
        <v>45736</v>
      </c>
      <c r="B115" s="29">
        <v>37.200000000000003</v>
      </c>
      <c r="C115" s="37"/>
      <c r="D115" s="37"/>
      <c r="E115" s="37"/>
      <c r="F115" s="42"/>
      <c r="G115" s="58"/>
      <c r="H115" s="30"/>
      <c r="I115" s="31"/>
    </row>
    <row r="116" spans="1:10" ht="39" customHeight="1">
      <c r="A116" s="26">
        <v>45737</v>
      </c>
      <c r="B116" s="29">
        <v>37.299999999999997</v>
      </c>
      <c r="C116" s="37"/>
      <c r="D116" s="37"/>
      <c r="E116" s="37"/>
      <c r="F116" s="42"/>
      <c r="G116" s="58"/>
      <c r="H116" s="30"/>
      <c r="I116" s="31"/>
    </row>
    <row r="117" spans="1:10" ht="39" customHeight="1">
      <c r="A117" s="26">
        <v>45738</v>
      </c>
      <c r="B117" s="29">
        <v>37.4</v>
      </c>
      <c r="C117" s="37"/>
      <c r="D117" s="37"/>
      <c r="E117" s="37"/>
      <c r="F117" s="42"/>
      <c r="G117" s="58"/>
      <c r="H117" s="30"/>
      <c r="I117" s="31"/>
    </row>
    <row r="118" spans="1:10" ht="39" customHeight="1">
      <c r="A118" s="26">
        <v>45739</v>
      </c>
      <c r="B118" s="29">
        <v>37.5</v>
      </c>
      <c r="C118" s="37"/>
      <c r="D118" s="37"/>
      <c r="E118" s="37"/>
      <c r="F118" s="42"/>
      <c r="G118" s="58"/>
      <c r="H118" s="30"/>
      <c r="I118" s="31"/>
    </row>
    <row r="119" spans="1:10" ht="39" customHeight="1">
      <c r="A119" s="26">
        <v>45740</v>
      </c>
      <c r="B119" s="29">
        <v>37.6</v>
      </c>
      <c r="C119" s="37"/>
      <c r="D119" s="37"/>
      <c r="E119" s="37"/>
      <c r="F119" s="42"/>
      <c r="G119" s="58"/>
      <c r="H119" s="30"/>
      <c r="I119" s="31"/>
      <c r="J119" s="1" t="s">
        <v>40</v>
      </c>
    </row>
    <row r="120" spans="1:10" ht="39" customHeight="1">
      <c r="A120" s="26">
        <v>45741</v>
      </c>
      <c r="B120" s="29">
        <v>38</v>
      </c>
      <c r="C120" s="37"/>
      <c r="D120" s="37"/>
      <c r="E120" s="37"/>
      <c r="F120" s="42"/>
      <c r="G120" s="58"/>
      <c r="H120" s="30"/>
      <c r="I120" s="31"/>
    </row>
    <row r="121" spans="1:10" ht="39" customHeight="1">
      <c r="A121" s="26">
        <v>45742</v>
      </c>
      <c r="B121" s="29">
        <v>38.1</v>
      </c>
      <c r="C121" s="37"/>
      <c r="D121" s="37"/>
      <c r="E121" s="37"/>
      <c r="F121" s="42"/>
      <c r="G121" s="58"/>
      <c r="H121" s="30"/>
      <c r="I121" s="31"/>
    </row>
    <row r="122" spans="1:10" ht="39" customHeight="1">
      <c r="A122" s="26">
        <v>45743</v>
      </c>
      <c r="B122" s="29">
        <v>38.200000000000003</v>
      </c>
      <c r="C122" s="37"/>
      <c r="D122" s="37"/>
      <c r="E122" s="37"/>
      <c r="F122" s="42"/>
      <c r="G122" s="58"/>
      <c r="H122" s="30"/>
      <c r="I122" s="31"/>
    </row>
    <row r="123" spans="1:10" ht="39" customHeight="1">
      <c r="A123" s="26">
        <v>45744</v>
      </c>
      <c r="B123" s="29">
        <v>38.299999999999997</v>
      </c>
      <c r="C123" s="37"/>
      <c r="D123" s="37"/>
      <c r="E123" s="37"/>
      <c r="F123" s="42"/>
      <c r="G123" s="58"/>
      <c r="H123" s="30"/>
      <c r="I123" s="31"/>
    </row>
    <row r="124" spans="1:10" ht="39" customHeight="1">
      <c r="A124" s="26">
        <v>45745</v>
      </c>
      <c r="B124" s="29">
        <v>38.4</v>
      </c>
      <c r="C124" s="37"/>
      <c r="D124" s="37"/>
      <c r="E124" s="37"/>
      <c r="F124" s="42"/>
      <c r="G124" s="58"/>
      <c r="H124" s="30"/>
      <c r="I124" s="31"/>
    </row>
    <row r="125" spans="1:10" ht="39" customHeight="1">
      <c r="A125" s="26">
        <v>45746</v>
      </c>
      <c r="B125" s="29">
        <v>38.5</v>
      </c>
      <c r="C125" s="37"/>
      <c r="D125" s="37"/>
      <c r="E125" s="37"/>
      <c r="F125" s="42"/>
      <c r="G125" s="58"/>
      <c r="H125" s="30"/>
      <c r="I125" s="31"/>
    </row>
    <row r="126" spans="1:10" ht="39" customHeight="1">
      <c r="A126" s="26">
        <v>45747</v>
      </c>
      <c r="B126" s="29">
        <v>38.6</v>
      </c>
      <c r="C126" s="37"/>
      <c r="D126" s="37"/>
      <c r="E126" s="37"/>
      <c r="F126" s="42"/>
      <c r="G126" s="58"/>
      <c r="H126" s="30"/>
      <c r="I126" s="31"/>
    </row>
    <row r="127" spans="1:10" ht="39" customHeight="1">
      <c r="A127" s="26">
        <v>45748</v>
      </c>
      <c r="B127" s="29">
        <v>39</v>
      </c>
      <c r="C127" s="37"/>
      <c r="D127" s="37"/>
      <c r="E127" s="37"/>
      <c r="F127" s="42"/>
      <c r="G127" s="58"/>
      <c r="H127" s="30"/>
      <c r="I127" s="31"/>
    </row>
    <row r="128" spans="1:10" ht="39" customHeight="1">
      <c r="A128" s="26">
        <v>45749</v>
      </c>
      <c r="B128" s="29">
        <v>39.1</v>
      </c>
      <c r="C128" s="37"/>
      <c r="D128" s="37"/>
      <c r="E128" s="37"/>
      <c r="F128" s="42"/>
      <c r="G128" s="58"/>
      <c r="H128" s="30"/>
      <c r="I128" s="31"/>
    </row>
    <row r="129" spans="1:9" ht="39" customHeight="1">
      <c r="A129" s="26">
        <v>45750</v>
      </c>
      <c r="B129" s="29">
        <v>39.200000000000003</v>
      </c>
      <c r="C129" s="37"/>
      <c r="D129" s="37"/>
      <c r="E129" s="37"/>
      <c r="F129" s="42"/>
      <c r="G129" s="58"/>
      <c r="H129" s="30"/>
      <c r="I129" s="31"/>
    </row>
    <row r="130" spans="1:9" ht="39" customHeight="1">
      <c r="A130" s="26">
        <v>45751</v>
      </c>
      <c r="B130" s="29">
        <v>39.299999999999997</v>
      </c>
      <c r="C130" s="37"/>
      <c r="D130" s="37"/>
      <c r="E130" s="37"/>
      <c r="F130" s="42"/>
      <c r="G130" s="58"/>
      <c r="H130" s="30"/>
      <c r="I130" s="31"/>
    </row>
    <row r="131" spans="1:9" ht="39" customHeight="1">
      <c r="A131" s="26">
        <v>45752</v>
      </c>
      <c r="B131" s="29">
        <v>39.4</v>
      </c>
      <c r="C131" s="37"/>
      <c r="D131" s="37"/>
      <c r="E131" s="37"/>
      <c r="F131" s="42"/>
      <c r="G131" s="58"/>
      <c r="H131" s="30"/>
      <c r="I131" s="31"/>
    </row>
    <row r="132" spans="1:9" ht="39" customHeight="1">
      <c r="A132" s="26">
        <v>45753</v>
      </c>
      <c r="B132" s="29">
        <v>39.5</v>
      </c>
      <c r="C132" s="37"/>
      <c r="D132" s="37"/>
      <c r="E132" s="37"/>
      <c r="F132" s="42"/>
      <c r="G132" s="58"/>
      <c r="H132" s="30"/>
      <c r="I132" s="31"/>
    </row>
    <row r="133" spans="1:9" ht="39" customHeight="1">
      <c r="A133" s="26">
        <v>45754</v>
      </c>
      <c r="B133" s="29">
        <v>39.6</v>
      </c>
      <c r="C133" s="37"/>
      <c r="D133" s="37"/>
      <c r="E133" s="37"/>
      <c r="F133" s="43"/>
      <c r="G133" s="59"/>
      <c r="H133" s="53"/>
      <c r="I133" s="37"/>
    </row>
    <row r="134" spans="1:9" ht="39" customHeight="1">
      <c r="A134" s="26">
        <v>45755</v>
      </c>
      <c r="B134" s="29">
        <v>40</v>
      </c>
      <c r="C134" s="37"/>
      <c r="D134" s="37"/>
      <c r="E134" s="37"/>
      <c r="F134" s="43"/>
      <c r="G134" s="59"/>
      <c r="H134" s="53"/>
      <c r="I134" s="37"/>
    </row>
    <row r="135" spans="1:9" ht="39" customHeight="1">
      <c r="A135" s="26"/>
      <c r="B135" s="31"/>
      <c r="C135" s="18"/>
      <c r="D135" s="18"/>
      <c r="E135" s="18"/>
      <c r="F135" s="44"/>
      <c r="G135" s="60"/>
      <c r="H135" s="54"/>
      <c r="I135" s="32"/>
    </row>
    <row r="136" spans="1:9" ht="39" customHeight="1">
      <c r="A136" s="26"/>
      <c r="B136" s="31"/>
      <c r="C136" s="18"/>
      <c r="D136" s="18"/>
      <c r="E136" s="18"/>
      <c r="F136" s="44"/>
      <c r="G136" s="60"/>
      <c r="H136" s="54"/>
      <c r="I136" s="32"/>
    </row>
    <row r="137" spans="1:9" ht="39" customHeight="1">
      <c r="A137" s="26"/>
      <c r="B137" s="30"/>
      <c r="C137" s="18"/>
      <c r="D137" s="18"/>
      <c r="E137" s="18"/>
      <c r="F137" s="44"/>
      <c r="G137" s="60"/>
      <c r="H137" s="54"/>
      <c r="I137" s="32"/>
    </row>
    <row r="138" spans="1:9" ht="39" customHeight="1">
      <c r="A138" s="26"/>
      <c r="B138" s="30"/>
      <c r="C138" s="18"/>
      <c r="D138" s="18"/>
      <c r="E138" s="18"/>
      <c r="F138" s="44"/>
      <c r="G138" s="60"/>
      <c r="H138" s="54"/>
      <c r="I138" s="32"/>
    </row>
    <row r="139" spans="1:9" ht="39" customHeight="1">
      <c r="A139" s="26"/>
      <c r="B139" s="30"/>
      <c r="C139" s="18"/>
      <c r="D139" s="18"/>
      <c r="E139" s="18"/>
      <c r="F139" s="44"/>
      <c r="G139" s="60"/>
      <c r="H139" s="54"/>
      <c r="I139" s="32"/>
    </row>
    <row r="140" spans="1:9" ht="39" customHeight="1">
      <c r="A140" s="26"/>
      <c r="B140" s="30"/>
      <c r="C140" s="18"/>
      <c r="D140" s="18"/>
      <c r="E140" s="18"/>
      <c r="F140" s="44"/>
      <c r="G140" s="60"/>
      <c r="H140" s="54"/>
      <c r="I140" s="32"/>
    </row>
    <row r="141" spans="1:9" ht="39" customHeight="1">
      <c r="A141" s="26"/>
      <c r="B141" s="30"/>
      <c r="C141" s="18"/>
      <c r="D141" s="18"/>
      <c r="E141" s="18"/>
      <c r="F141" s="44"/>
      <c r="G141" s="60"/>
      <c r="H141" s="54"/>
      <c r="I141" s="32"/>
    </row>
    <row r="142" spans="1:9" ht="39" customHeight="1">
      <c r="A142" s="26"/>
      <c r="B142" s="30"/>
      <c r="C142" s="18"/>
      <c r="D142" s="18"/>
      <c r="E142" s="18"/>
      <c r="F142" s="44"/>
      <c r="G142" s="60"/>
      <c r="H142" s="54"/>
      <c r="I142" s="32"/>
    </row>
    <row r="143" spans="1:9" ht="39" customHeight="1">
      <c r="A143" s="26"/>
      <c r="B143" s="30"/>
      <c r="C143" s="18"/>
      <c r="D143" s="18"/>
      <c r="E143" s="18"/>
      <c r="F143" s="44"/>
      <c r="G143" s="60"/>
      <c r="H143" s="54"/>
      <c r="I143" s="32"/>
    </row>
    <row r="144" spans="1:9" ht="39" customHeight="1">
      <c r="A144" s="26"/>
      <c r="B144" s="30"/>
      <c r="C144" s="18"/>
      <c r="D144" s="18"/>
      <c r="E144" s="18"/>
      <c r="F144" s="44"/>
      <c r="G144" s="60"/>
      <c r="H144" s="54"/>
      <c r="I144" s="32"/>
    </row>
    <row r="145" spans="1:9" ht="39" customHeight="1">
      <c r="A145" s="26"/>
      <c r="B145" s="30"/>
      <c r="C145" s="18"/>
      <c r="D145" s="18"/>
      <c r="E145" s="18"/>
      <c r="F145" s="44"/>
      <c r="G145" s="60"/>
      <c r="H145" s="54"/>
      <c r="I145" s="32"/>
    </row>
    <row r="146" spans="1:9" ht="39" customHeight="1">
      <c r="A146" s="26"/>
      <c r="B146" s="30"/>
      <c r="C146" s="18"/>
      <c r="D146" s="18"/>
      <c r="E146" s="18"/>
      <c r="F146" s="44"/>
      <c r="G146" s="60"/>
      <c r="H146" s="54"/>
      <c r="I146" s="32"/>
    </row>
    <row r="147" spans="1:9" ht="39" customHeight="1">
      <c r="A147" s="26"/>
      <c r="B147" s="30"/>
      <c r="C147" s="18"/>
      <c r="D147" s="18"/>
      <c r="E147" s="18"/>
      <c r="F147" s="44"/>
      <c r="G147" s="60"/>
      <c r="H147" s="54"/>
      <c r="I147" s="32"/>
    </row>
    <row r="148" spans="1:9" ht="39" customHeight="1">
      <c r="A148" s="26"/>
      <c r="B148" s="30"/>
      <c r="C148" s="18"/>
      <c r="D148" s="18"/>
      <c r="E148" s="18"/>
      <c r="F148" s="44"/>
      <c r="G148" s="60"/>
      <c r="H148" s="54"/>
      <c r="I148" s="32"/>
    </row>
    <row r="149" spans="1:9" ht="39" customHeight="1">
      <c r="A149" s="26"/>
      <c r="B149" s="30"/>
      <c r="C149" s="18"/>
      <c r="D149" s="18"/>
      <c r="E149" s="18"/>
      <c r="F149" s="44"/>
      <c r="G149" s="60"/>
      <c r="H149" s="54"/>
      <c r="I149" s="32"/>
    </row>
    <row r="150" spans="1:9" ht="39" customHeight="1">
      <c r="A150" s="26"/>
      <c r="B150" s="30"/>
      <c r="C150" s="18"/>
      <c r="D150" s="18"/>
      <c r="E150" s="18"/>
      <c r="F150" s="44"/>
      <c r="G150" s="60"/>
      <c r="H150" s="54"/>
      <c r="I150" s="32"/>
    </row>
    <row r="151" spans="1:9" ht="39" customHeight="1">
      <c r="A151" s="26"/>
      <c r="B151" s="30"/>
      <c r="C151" s="35"/>
      <c r="D151" s="35"/>
      <c r="E151" s="35"/>
      <c r="F151" s="45"/>
      <c r="G151" s="61"/>
      <c r="H151" s="55"/>
      <c r="I151" s="32"/>
    </row>
    <row r="152" spans="1:9" ht="39" customHeight="1">
      <c r="A152" s="34"/>
      <c r="B152" s="30"/>
      <c r="C152" s="32"/>
      <c r="D152" s="32"/>
      <c r="E152" s="32"/>
      <c r="F152" s="46"/>
      <c r="G152" s="62"/>
      <c r="H152" s="56"/>
      <c r="I152" s="32"/>
    </row>
    <row r="153" spans="1:9" ht="39" customHeight="1">
      <c r="A153" s="34"/>
      <c r="B153" s="30"/>
      <c r="C153" s="32"/>
      <c r="D153" s="32"/>
      <c r="E153" s="32"/>
      <c r="F153" s="46"/>
      <c r="G153" s="62"/>
      <c r="H153" s="56"/>
      <c r="I153" s="32"/>
    </row>
    <row r="154" spans="1:9" ht="39" customHeight="1">
      <c r="A154" s="34"/>
      <c r="B154" s="30"/>
      <c r="C154" s="32"/>
      <c r="D154" s="32"/>
      <c r="E154" s="32"/>
      <c r="F154" s="46"/>
      <c r="G154" s="62"/>
      <c r="H154" s="56"/>
      <c r="I154" s="32"/>
    </row>
    <row r="155" spans="1:9" ht="39" customHeight="1">
      <c r="A155" s="34"/>
      <c r="B155" s="30"/>
      <c r="C155" s="32"/>
      <c r="D155" s="32"/>
      <c r="E155" s="32"/>
      <c r="F155" s="46"/>
      <c r="G155" s="62"/>
      <c r="H155" s="56"/>
      <c r="I155" s="32"/>
    </row>
    <row r="156" spans="1:9" ht="39" customHeight="1">
      <c r="A156" s="34"/>
      <c r="B156" s="30"/>
      <c r="C156" s="32"/>
      <c r="D156" s="32"/>
      <c r="E156" s="32"/>
      <c r="F156" s="46"/>
      <c r="G156" s="62"/>
      <c r="H156" s="56"/>
      <c r="I156" s="32"/>
    </row>
    <row r="157" spans="1:9" ht="39" customHeight="1">
      <c r="A157" s="34"/>
      <c r="B157" s="30"/>
      <c r="C157" s="32"/>
      <c r="D157" s="32"/>
      <c r="E157" s="32"/>
      <c r="F157" s="46"/>
      <c r="G157" s="62"/>
      <c r="H157" s="56"/>
      <c r="I157" s="32"/>
    </row>
    <row r="158" spans="1:9" ht="39" customHeight="1">
      <c r="A158" s="34"/>
      <c r="B158" s="30"/>
      <c r="C158" s="32"/>
      <c r="D158" s="32"/>
      <c r="E158" s="32"/>
      <c r="F158" s="46"/>
      <c r="G158" s="62"/>
      <c r="H158" s="56"/>
      <c r="I158" s="32"/>
    </row>
    <row r="159" spans="1:9" ht="39" customHeight="1">
      <c r="A159" s="34"/>
      <c r="B159" s="30"/>
      <c r="C159" s="32"/>
      <c r="D159" s="32"/>
      <c r="E159" s="32"/>
      <c r="F159" s="46"/>
      <c r="G159" s="62"/>
      <c r="H159" s="56"/>
      <c r="I159" s="32"/>
    </row>
    <row r="160" spans="1:9" ht="39" customHeight="1">
      <c r="A160" s="34"/>
      <c r="B160" s="30"/>
      <c r="C160" s="32"/>
      <c r="D160" s="32"/>
      <c r="E160" s="32"/>
      <c r="F160" s="46"/>
      <c r="G160" s="62"/>
      <c r="H160" s="56"/>
      <c r="I160" s="32"/>
    </row>
    <row r="161" spans="1:9" ht="39" customHeight="1">
      <c r="A161" s="34"/>
      <c r="B161" s="30"/>
      <c r="C161" s="32"/>
      <c r="D161" s="32"/>
      <c r="E161" s="32"/>
      <c r="F161" s="46"/>
      <c r="G161" s="62"/>
      <c r="H161" s="56"/>
      <c r="I161" s="32"/>
    </row>
    <row r="162" spans="1:9" ht="39" customHeight="1">
      <c r="A162" s="34"/>
      <c r="B162" s="30"/>
      <c r="C162" s="32"/>
      <c r="D162" s="32"/>
      <c r="E162" s="32"/>
      <c r="F162" s="46"/>
      <c r="G162" s="62"/>
      <c r="H162" s="56"/>
      <c r="I162" s="32"/>
    </row>
    <row r="163" spans="1:9" ht="39" customHeight="1">
      <c r="A163" s="34"/>
      <c r="B163" s="30"/>
      <c r="C163" s="32"/>
      <c r="D163" s="32"/>
      <c r="E163" s="32"/>
      <c r="F163" s="46"/>
      <c r="G163" s="62"/>
      <c r="H163" s="56"/>
      <c r="I163" s="32"/>
    </row>
    <row r="164" spans="1:9" ht="39" customHeight="1">
      <c r="A164" s="34"/>
      <c r="B164" s="30"/>
      <c r="C164" s="32"/>
      <c r="D164" s="32"/>
      <c r="E164" s="32"/>
      <c r="F164" s="46"/>
      <c r="G164" s="62"/>
      <c r="H164" s="56"/>
      <c r="I164" s="32"/>
    </row>
    <row r="165" spans="1:9" ht="39" customHeight="1">
      <c r="A165" s="34"/>
      <c r="B165" s="30"/>
      <c r="C165" s="32"/>
      <c r="D165" s="32"/>
      <c r="E165" s="32"/>
      <c r="F165" s="46"/>
      <c r="G165" s="62"/>
      <c r="H165" s="56"/>
      <c r="I165" s="32"/>
    </row>
    <row r="166" spans="1:9" ht="39" customHeight="1">
      <c r="A166" s="34"/>
      <c r="B166" s="30"/>
      <c r="C166" s="32"/>
      <c r="D166" s="32"/>
      <c r="E166" s="32"/>
      <c r="F166" s="32"/>
      <c r="G166" s="56"/>
      <c r="H166" s="56"/>
      <c r="I166" s="32"/>
    </row>
    <row r="167" spans="1:9" ht="39" customHeight="1">
      <c r="A167" s="34"/>
      <c r="B167" s="30"/>
      <c r="C167" s="32"/>
      <c r="D167" s="32"/>
      <c r="E167" s="32"/>
      <c r="F167" s="32"/>
      <c r="G167" s="56"/>
      <c r="H167" s="56"/>
      <c r="I167" s="32"/>
    </row>
    <row r="168" spans="1:9" ht="39" customHeight="1">
      <c r="A168" s="34"/>
      <c r="B168" s="30"/>
      <c r="C168" s="32"/>
      <c r="D168" s="32"/>
      <c r="E168" s="32"/>
      <c r="F168" s="32"/>
      <c r="G168" s="56"/>
      <c r="H168" s="56"/>
      <c r="I168" s="32"/>
    </row>
    <row r="169" spans="1:9" ht="39" customHeight="1">
      <c r="A169" s="34"/>
      <c r="B169" s="30"/>
      <c r="C169" s="32"/>
      <c r="D169" s="32"/>
      <c r="E169" s="32"/>
      <c r="F169" s="32"/>
      <c r="G169" s="56"/>
      <c r="H169" s="56"/>
      <c r="I169" s="32"/>
    </row>
    <row r="170" spans="1:9" ht="39" customHeight="1">
      <c r="A170" s="34"/>
      <c r="B170" s="30"/>
      <c r="C170" s="32"/>
      <c r="D170" s="32"/>
      <c r="E170" s="32"/>
      <c r="F170" s="32"/>
      <c r="G170" s="56"/>
      <c r="H170" s="56"/>
      <c r="I170" s="32"/>
    </row>
    <row r="171" spans="1:9" ht="39" customHeight="1">
      <c r="A171" s="34"/>
      <c r="B171" s="30"/>
      <c r="C171" s="33"/>
      <c r="D171" s="33"/>
      <c r="E171" s="33"/>
      <c r="F171" s="33"/>
      <c r="G171" s="57"/>
      <c r="H171" s="57"/>
    </row>
    <row r="172" spans="1:9" ht="39" customHeight="1">
      <c r="A172" s="34"/>
      <c r="B172" s="30"/>
      <c r="C172" s="33"/>
      <c r="D172" s="33"/>
      <c r="E172" s="33"/>
      <c r="F172" s="33"/>
      <c r="G172" s="57"/>
      <c r="H172" s="57"/>
    </row>
    <row r="173" spans="1:9" ht="39" customHeight="1">
      <c r="A173" s="34"/>
      <c r="B173" s="30"/>
      <c r="C173" s="33"/>
      <c r="D173" s="33"/>
      <c r="E173" s="33"/>
      <c r="F173" s="33"/>
      <c r="G173" s="57"/>
      <c r="H173" s="57"/>
    </row>
    <row r="174" spans="1:9" ht="39" customHeight="1">
      <c r="A174" s="34"/>
      <c r="B174" s="30"/>
      <c r="C174" s="33"/>
      <c r="D174" s="33"/>
      <c r="E174" s="33"/>
      <c r="F174" s="33"/>
      <c r="G174" s="57"/>
      <c r="H174" s="57"/>
    </row>
    <row r="175" spans="1:9" ht="39" customHeight="1">
      <c r="A175" s="34"/>
      <c r="B175" s="30"/>
      <c r="C175" s="33"/>
      <c r="D175" s="33"/>
      <c r="E175" s="33"/>
      <c r="F175" s="33"/>
      <c r="G175" s="57"/>
      <c r="H175" s="57"/>
    </row>
    <row r="176" spans="1:9" ht="39" customHeight="1">
      <c r="A176" s="34"/>
      <c r="B176" s="30"/>
      <c r="C176" s="33"/>
      <c r="D176" s="33"/>
      <c r="E176" s="33"/>
      <c r="F176" s="33"/>
      <c r="G176" s="57"/>
      <c r="H176" s="57"/>
    </row>
    <row r="177" spans="1:8" ht="39" customHeight="1">
      <c r="A177" s="34"/>
      <c r="B177" s="30"/>
      <c r="C177" s="33"/>
      <c r="D177" s="33"/>
      <c r="E177" s="33"/>
      <c r="F177" s="33"/>
      <c r="G177" s="57"/>
      <c r="H177" s="57"/>
    </row>
    <row r="178" spans="1:8" ht="39" customHeight="1">
      <c r="A178" s="34"/>
      <c r="B178" s="30"/>
      <c r="C178" s="33"/>
      <c r="D178" s="33"/>
      <c r="E178" s="33"/>
      <c r="F178" s="33"/>
      <c r="G178" s="57"/>
      <c r="H178" s="57"/>
    </row>
    <row r="179" spans="1:8" ht="39" customHeight="1">
      <c r="A179" s="34"/>
      <c r="B179" s="30"/>
      <c r="C179" s="33"/>
      <c r="D179" s="33"/>
      <c r="E179" s="33"/>
      <c r="F179" s="33"/>
      <c r="G179" s="57"/>
      <c r="H179" s="57"/>
    </row>
    <row r="180" spans="1:8" ht="39" customHeight="1">
      <c r="A180" s="34"/>
      <c r="B180" s="30"/>
      <c r="C180" s="33"/>
      <c r="D180" s="33"/>
      <c r="E180" s="33"/>
      <c r="F180" s="33"/>
      <c r="G180" s="57"/>
      <c r="H180" s="57"/>
    </row>
    <row r="181" spans="1:8" ht="39" customHeight="1">
      <c r="A181" s="34"/>
      <c r="B181" s="30"/>
      <c r="C181" s="33"/>
      <c r="D181" s="33"/>
      <c r="E181" s="33"/>
      <c r="F181" s="33"/>
      <c r="G181" s="57"/>
      <c r="H181" s="57"/>
    </row>
    <row r="182" spans="1:8" ht="39" customHeight="1">
      <c r="A182" s="34"/>
      <c r="B182" s="30"/>
      <c r="C182" s="33"/>
      <c r="D182" s="33"/>
      <c r="E182" s="33"/>
      <c r="F182" s="33"/>
      <c r="G182" s="57"/>
      <c r="H182" s="57"/>
    </row>
    <row r="183" spans="1:8" ht="39" customHeight="1">
      <c r="A183" s="34"/>
      <c r="B183" s="30"/>
      <c r="C183" s="33"/>
      <c r="D183" s="33"/>
      <c r="E183" s="33"/>
      <c r="F183" s="33"/>
      <c r="G183" s="57"/>
      <c r="H183" s="57"/>
    </row>
    <row r="184" spans="1:8" ht="39" customHeight="1">
      <c r="A184" s="34"/>
      <c r="B184" s="30"/>
      <c r="C184" s="33"/>
      <c r="D184" s="33"/>
      <c r="E184" s="33"/>
      <c r="F184" s="33"/>
      <c r="G184" s="57"/>
      <c r="H184" s="57"/>
    </row>
    <row r="185" spans="1:8" ht="39" customHeight="1">
      <c r="A185" s="34"/>
      <c r="B185" s="30"/>
      <c r="C185" s="33"/>
      <c r="D185" s="33"/>
      <c r="E185" s="33"/>
      <c r="F185" s="33"/>
      <c r="G185" s="57"/>
      <c r="H185" s="57"/>
    </row>
    <row r="186" spans="1:8" ht="39" customHeight="1">
      <c r="A186" s="34"/>
      <c r="B186" s="30"/>
      <c r="C186" s="33"/>
      <c r="D186" s="33"/>
      <c r="E186" s="33"/>
      <c r="F186" s="33"/>
      <c r="G186" s="57"/>
      <c r="H186" s="57"/>
    </row>
    <row r="187" spans="1:8" ht="39" customHeight="1">
      <c r="A187" s="34"/>
      <c r="B187" s="30"/>
      <c r="C187" s="33"/>
      <c r="D187" s="33"/>
      <c r="E187" s="33"/>
      <c r="F187" s="33"/>
      <c r="G187" s="57"/>
      <c r="H187" s="57"/>
    </row>
    <row r="188" spans="1:8" ht="39" customHeight="1">
      <c r="A188" s="34"/>
      <c r="B188" s="30"/>
      <c r="C188" s="33"/>
      <c r="D188" s="33"/>
      <c r="E188" s="33"/>
      <c r="F188" s="33"/>
      <c r="G188" s="57"/>
      <c r="H188" s="57"/>
    </row>
    <row r="189" spans="1:8" ht="39" customHeight="1">
      <c r="A189" s="34"/>
      <c r="B189" s="30"/>
      <c r="C189" s="33"/>
      <c r="D189" s="33"/>
      <c r="E189" s="33"/>
      <c r="F189" s="33"/>
      <c r="G189" s="57"/>
      <c r="H189" s="57"/>
    </row>
    <row r="190" spans="1:8" ht="39" customHeight="1">
      <c r="A190" s="34"/>
      <c r="B190" s="30"/>
      <c r="C190" s="33"/>
      <c r="D190" s="33"/>
      <c r="E190" s="33"/>
      <c r="F190" s="33"/>
      <c r="G190" s="57"/>
      <c r="H190" s="57"/>
    </row>
    <row r="191" spans="1:8" ht="39" customHeight="1">
      <c r="A191" s="34"/>
      <c r="B191" s="30"/>
      <c r="C191" s="33"/>
      <c r="D191" s="33"/>
      <c r="E191" s="33"/>
      <c r="F191" s="33"/>
      <c r="G191" s="57"/>
      <c r="H191" s="57"/>
    </row>
    <row r="192" spans="1:8" ht="39" customHeight="1">
      <c r="A192" s="34"/>
      <c r="B192" s="30"/>
      <c r="C192" s="33"/>
      <c r="D192" s="33"/>
      <c r="E192" s="33"/>
      <c r="F192" s="33"/>
      <c r="G192" s="57"/>
      <c r="H192" s="57"/>
    </row>
    <row r="193" spans="1:8" ht="39" customHeight="1">
      <c r="A193" s="34"/>
      <c r="B193" s="30"/>
      <c r="C193" s="33"/>
      <c r="D193" s="33"/>
      <c r="E193" s="33"/>
      <c r="F193" s="33"/>
      <c r="G193" s="57"/>
      <c r="H193" s="57"/>
    </row>
    <row r="194" spans="1:8" ht="39" customHeight="1">
      <c r="A194" s="34"/>
      <c r="B194" s="30"/>
      <c r="C194" s="33"/>
      <c r="D194" s="33"/>
      <c r="E194" s="33"/>
      <c r="F194" s="33"/>
      <c r="G194" s="57"/>
      <c r="H194" s="57"/>
    </row>
    <row r="195" spans="1:8" ht="39" customHeight="1">
      <c r="A195" s="34"/>
      <c r="B195" s="30"/>
      <c r="C195" s="33"/>
      <c r="D195" s="33"/>
      <c r="E195" s="33"/>
      <c r="F195" s="33"/>
      <c r="G195" s="57"/>
      <c r="H195" s="57"/>
    </row>
    <row r="196" spans="1:8" ht="39" customHeight="1">
      <c r="A196" s="34"/>
      <c r="B196" s="30"/>
      <c r="C196" s="33"/>
      <c r="D196" s="33"/>
      <c r="E196" s="33"/>
      <c r="F196" s="33"/>
      <c r="G196" s="57"/>
      <c r="H196" s="57"/>
    </row>
    <row r="197" spans="1:8" ht="39" customHeight="1">
      <c r="A197" s="34"/>
      <c r="B197" s="1"/>
      <c r="C197" s="33"/>
      <c r="D197" s="33"/>
      <c r="E197" s="33"/>
      <c r="F197" s="33"/>
      <c r="G197" s="57"/>
      <c r="H197" s="57"/>
    </row>
    <row r="198" spans="1:8" ht="39" customHeight="1">
      <c r="A198" s="34"/>
      <c r="B198" s="1"/>
      <c r="C198" s="33"/>
      <c r="D198" s="33"/>
      <c r="E198" s="33"/>
      <c r="F198" s="33"/>
      <c r="G198" s="57"/>
      <c r="H198" s="57"/>
    </row>
    <row r="199" spans="1:8" ht="39" customHeight="1">
      <c r="A199" s="34"/>
      <c r="B199" s="1"/>
      <c r="C199" s="33"/>
      <c r="D199" s="33"/>
      <c r="E199" s="33"/>
      <c r="F199" s="33"/>
      <c r="G199" s="57"/>
      <c r="H199" s="57"/>
    </row>
    <row r="200" spans="1:8" ht="39" customHeight="1">
      <c r="A200" s="34"/>
      <c r="B200" s="1"/>
      <c r="C200" s="33"/>
      <c r="D200" s="33"/>
      <c r="E200" s="33"/>
      <c r="F200" s="33"/>
      <c r="G200" s="57"/>
      <c r="H200" s="57"/>
    </row>
    <row r="201" spans="1:8" ht="39" customHeight="1">
      <c r="A201" s="34"/>
      <c r="B201" s="1"/>
      <c r="C201" s="33"/>
      <c r="D201" s="33"/>
      <c r="E201" s="33"/>
      <c r="F201" s="33"/>
      <c r="G201" s="57"/>
      <c r="H201" s="57"/>
    </row>
    <row r="202" spans="1:8" ht="39" customHeight="1">
      <c r="A202" s="34"/>
      <c r="B202" s="31"/>
      <c r="C202" s="33"/>
      <c r="D202" s="33"/>
      <c r="E202" s="33"/>
      <c r="F202" s="33"/>
      <c r="G202" s="57"/>
      <c r="H202" s="57"/>
    </row>
    <row r="203" spans="1:8" ht="39" customHeight="1">
      <c r="A203" s="26"/>
      <c r="B203" s="36"/>
    </row>
    <row r="204" spans="1:8" ht="39" customHeight="1">
      <c r="A204" s="26"/>
      <c r="B204" s="27"/>
    </row>
    <row r="205" spans="1:8" ht="39" customHeight="1">
      <c r="A205" s="26"/>
      <c r="B205" s="27"/>
    </row>
    <row r="206" spans="1:8" ht="39" customHeight="1">
      <c r="A206" s="26"/>
      <c r="B206" s="27"/>
    </row>
    <row r="207" spans="1:8" ht="39" customHeight="1">
      <c r="A207" s="26"/>
      <c r="B207" s="27"/>
    </row>
    <row r="208" spans="1:8" ht="39" customHeight="1">
      <c r="B208" s="27"/>
    </row>
    <row r="209" spans="2:2" ht="39" customHeight="1">
      <c r="B209" s="27"/>
    </row>
    <row r="210" spans="2:2" ht="39" customHeight="1">
      <c r="B210" s="27"/>
    </row>
    <row r="211" spans="2:2" ht="39" customHeight="1">
      <c r="B211" s="27"/>
    </row>
    <row r="212" spans="2:2" ht="39" customHeight="1">
      <c r="B212" s="27"/>
    </row>
    <row r="213" spans="2:2" ht="39" customHeight="1">
      <c r="B213" s="27"/>
    </row>
    <row r="214" spans="2:2" ht="39" customHeight="1">
      <c r="B214" s="27"/>
    </row>
    <row r="215" spans="2:2" ht="39" customHeight="1">
      <c r="B215" s="27"/>
    </row>
    <row r="216" spans="2:2" ht="39" customHeight="1">
      <c r="B216" s="27"/>
    </row>
    <row r="217" spans="2:2" ht="39" customHeight="1">
      <c r="B217" s="27"/>
    </row>
    <row r="218" spans="2:2" ht="39" customHeight="1">
      <c r="B218" s="27"/>
    </row>
    <row r="219" spans="2:2" ht="39" customHeight="1">
      <c r="B219" s="27"/>
    </row>
    <row r="220" spans="2:2" ht="39" customHeight="1">
      <c r="B220" s="27"/>
    </row>
    <row r="221" spans="2:2" ht="39" customHeight="1">
      <c r="B221" s="27"/>
    </row>
    <row r="222" spans="2:2" ht="39" customHeight="1">
      <c r="B222" s="27"/>
    </row>
    <row r="223" spans="2:2" ht="39" customHeight="1">
      <c r="B223" s="27"/>
    </row>
    <row r="224" spans="2:2" ht="39" customHeight="1">
      <c r="B224" s="27"/>
    </row>
    <row r="225" spans="2:2" ht="39" customHeight="1">
      <c r="B225" s="27"/>
    </row>
    <row r="226" spans="2:2" ht="39" customHeight="1">
      <c r="B226" s="27"/>
    </row>
    <row r="227" spans="2:2" ht="39" customHeight="1">
      <c r="B227" s="27"/>
    </row>
    <row r="228" spans="2:2" ht="39" customHeight="1">
      <c r="B228" s="27"/>
    </row>
    <row r="229" spans="2:2" ht="39" customHeight="1">
      <c r="B229" s="27"/>
    </row>
    <row r="230" spans="2:2" ht="39" customHeight="1">
      <c r="B230" s="27"/>
    </row>
    <row r="231" spans="2:2" ht="39" customHeight="1">
      <c r="B231" s="27"/>
    </row>
    <row r="232" spans="2:2" ht="39" customHeight="1">
      <c r="B232" s="27"/>
    </row>
    <row r="233" spans="2:2" ht="39" customHeight="1">
      <c r="B233" s="27"/>
    </row>
    <row r="234" spans="2:2" ht="39" customHeight="1">
      <c r="B234" s="27"/>
    </row>
    <row r="235" spans="2:2" ht="39" customHeight="1">
      <c r="B235" s="27"/>
    </row>
    <row r="236" spans="2:2" ht="39" customHeight="1">
      <c r="B236" s="27"/>
    </row>
    <row r="237" spans="2:2" ht="39" customHeight="1">
      <c r="B237" s="27"/>
    </row>
    <row r="238" spans="2:2" ht="39" customHeight="1">
      <c r="B238" s="27"/>
    </row>
    <row r="239" spans="2:2" ht="39" customHeight="1">
      <c r="B239" s="27"/>
    </row>
    <row r="240" spans="2:2" ht="39" customHeight="1">
      <c r="B240" s="27"/>
    </row>
    <row r="241" spans="2:2" ht="39" customHeight="1">
      <c r="B241" s="27"/>
    </row>
    <row r="242" spans="2:2" ht="39" customHeight="1">
      <c r="B242" s="27"/>
    </row>
    <row r="243" spans="2:2" ht="39" customHeight="1">
      <c r="B243" s="27"/>
    </row>
    <row r="244" spans="2:2" ht="39" customHeight="1">
      <c r="B244" s="27"/>
    </row>
    <row r="245" spans="2:2" ht="39" customHeight="1">
      <c r="B245" s="27"/>
    </row>
    <row r="246" spans="2:2" ht="39" customHeight="1">
      <c r="B246" s="27"/>
    </row>
    <row r="247" spans="2:2" ht="39" customHeight="1">
      <c r="B247" s="27"/>
    </row>
    <row r="248" spans="2:2" ht="39" customHeight="1">
      <c r="B248" s="27"/>
    </row>
    <row r="249" spans="2:2" ht="39" customHeight="1">
      <c r="B249" s="27"/>
    </row>
    <row r="250" spans="2:2" ht="39" customHeight="1">
      <c r="B250" s="27"/>
    </row>
    <row r="251" spans="2:2" ht="39" customHeight="1">
      <c r="B251" s="27"/>
    </row>
    <row r="252" spans="2:2" ht="39" customHeight="1">
      <c r="B252" s="27"/>
    </row>
    <row r="253" spans="2:2" ht="39" customHeight="1">
      <c r="B253" s="27"/>
    </row>
    <row r="254" spans="2:2" ht="39" customHeight="1">
      <c r="B254" s="27"/>
    </row>
    <row r="255" spans="2:2" ht="39" customHeight="1">
      <c r="B255" s="27"/>
    </row>
    <row r="256" spans="2:2" ht="39" customHeight="1">
      <c r="B256" s="27"/>
    </row>
    <row r="257" spans="2:2" ht="39" customHeight="1">
      <c r="B257" s="27"/>
    </row>
    <row r="258" spans="2:2" ht="39" customHeight="1">
      <c r="B258" s="27"/>
    </row>
    <row r="259" spans="2:2" ht="39" customHeight="1">
      <c r="B259" s="27"/>
    </row>
    <row r="260" spans="2:2" ht="39" customHeight="1">
      <c r="B260" s="27"/>
    </row>
    <row r="261" spans="2:2" ht="39" customHeight="1">
      <c r="B261" s="27"/>
    </row>
    <row r="262" spans="2:2" ht="39" customHeight="1">
      <c r="B262" s="27"/>
    </row>
    <row r="263" spans="2:2" ht="39" customHeight="1">
      <c r="B263" s="27"/>
    </row>
    <row r="264" spans="2:2" ht="39" customHeight="1">
      <c r="B264" s="27"/>
    </row>
    <row r="265" spans="2:2" ht="39" customHeight="1">
      <c r="B265" s="28">
        <f>SUM(B264+0.1)</f>
        <v>0.1</v>
      </c>
    </row>
    <row r="266" spans="2:2" ht="39" customHeight="1">
      <c r="B266" s="21">
        <f t="shared" ref="B266:B270" si="0">SUM(B265+0.1)</f>
        <v>0.2</v>
      </c>
    </row>
    <row r="267" spans="2:2" ht="39" customHeight="1">
      <c r="B267" s="21">
        <f t="shared" si="0"/>
        <v>0.30000000000000004</v>
      </c>
    </row>
    <row r="268" spans="2:2" ht="39" customHeight="1">
      <c r="B268" s="21">
        <f t="shared" si="0"/>
        <v>0.4</v>
      </c>
    </row>
    <row r="269" spans="2:2" ht="39" customHeight="1">
      <c r="B269" s="22">
        <f>SUM(B268+0.1)</f>
        <v>0.5</v>
      </c>
    </row>
    <row r="270" spans="2:2" ht="39" customHeight="1">
      <c r="B270" s="22">
        <f t="shared" si="0"/>
        <v>0.6</v>
      </c>
    </row>
    <row r="271" spans="2:2" ht="39" customHeight="1">
      <c r="B271" s="21">
        <f>SUM(B270+0.4)</f>
        <v>1</v>
      </c>
    </row>
    <row r="272" spans="2:2" ht="39" customHeight="1">
      <c r="B272" s="21">
        <f>SUM(B271+0.1)</f>
        <v>1.1000000000000001</v>
      </c>
    </row>
    <row r="273" spans="2:2" ht="39" customHeight="1">
      <c r="B273" s="21">
        <f t="shared" ref="B273:B276" si="1">SUM(B272+0.1)</f>
        <v>1.2000000000000002</v>
      </c>
    </row>
    <row r="274" spans="2:2" ht="39" customHeight="1">
      <c r="B274" s="21">
        <f t="shared" si="1"/>
        <v>1.3000000000000003</v>
      </c>
    </row>
    <row r="275" spans="2:2" ht="39" customHeight="1">
      <c r="B275" s="21">
        <f t="shared" si="1"/>
        <v>1.4000000000000004</v>
      </c>
    </row>
    <row r="276" spans="2:2" ht="39" customHeight="1">
      <c r="B276" s="21">
        <f t="shared" si="1"/>
        <v>1.5000000000000004</v>
      </c>
    </row>
    <row r="277" spans="2:2" ht="39" customHeight="1">
      <c r="B277" s="21">
        <f>SUM(B276+0.1)</f>
        <v>1.6000000000000005</v>
      </c>
    </row>
    <row r="278" spans="2:2" ht="39" customHeight="1"/>
    <row r="279" spans="2:2" ht="39" customHeight="1"/>
    <row r="280" spans="2:2" ht="39" customHeight="1"/>
    <row r="281" spans="2:2" ht="39" customHeight="1"/>
    <row r="282" spans="2:2" ht="39" customHeight="1"/>
    <row r="283" spans="2:2" ht="39" customHeight="1"/>
    <row r="284" spans="2:2" ht="39" customHeight="1"/>
    <row r="285" spans="2:2" ht="39" customHeight="1"/>
    <row r="286" spans="2:2" ht="39" customHeight="1"/>
    <row r="287" spans="2:2" ht="39" customHeight="1"/>
    <row r="288" spans="2:2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1">
    <mergeCell ref="B1:G1"/>
  </mergeCells>
  <conditionalFormatting sqref="C1:I1048576">
    <cfRule type="cellIs" dxfId="3" priority="4" operator="lessThan">
      <formula>70</formula>
    </cfRule>
  </conditionalFormatting>
  <conditionalFormatting sqref="C1:C1048576">
    <cfRule type="cellIs" dxfId="2" priority="3" operator="greaterThan">
      <formula>94</formula>
    </cfRule>
  </conditionalFormatting>
  <conditionalFormatting sqref="D1:D1048576 F1:F1048576 H1:H1048576">
    <cfRule type="cellIs" dxfId="1" priority="2" operator="greaterThan">
      <formula>139</formula>
    </cfRule>
  </conditionalFormatting>
  <conditionalFormatting sqref="E1:E1048576 G1:G1048576 I1:I1048576">
    <cfRule type="cellIs" dxfId="0" priority="1" operator="greaterThan">
      <formula>99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9" t="s">
        <v>41</v>
      </c>
      <c r="B1" s="20" t="s">
        <v>42</v>
      </c>
      <c r="C1" s="20" t="s">
        <v>43</v>
      </c>
      <c r="D1" s="20" t="s">
        <v>44</v>
      </c>
      <c r="E1" s="19" t="s">
        <v>45</v>
      </c>
      <c r="F1" s="19" t="s">
        <v>46</v>
      </c>
      <c r="G1" s="20" t="s">
        <v>47</v>
      </c>
      <c r="H1" s="20" t="s">
        <v>48</v>
      </c>
      <c r="I1" s="20" t="s">
        <v>49</v>
      </c>
      <c r="J1" s="20" t="s">
        <v>50</v>
      </c>
      <c r="K1" s="20" t="s">
        <v>51</v>
      </c>
      <c r="L1" s="20" t="s">
        <v>52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Thays Lima da Silva Oliveira</cp:lastModifiedBy>
  <cp:revision>12</cp:revision>
  <dcterms:created xsi:type="dcterms:W3CDTF">2019-05-23T12:46:50Z</dcterms:created>
  <dcterms:modified xsi:type="dcterms:W3CDTF">2025-03-17T12:39:55Z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