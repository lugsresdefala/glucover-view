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calcChain.xml" ContentType="application/vnd.openxmlformats-officedocument.spreadsheetml.calcChain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2"/>
  <workbookPr/>
  <xr:revisionPtr revIDLastSave="220" documentId="11_6DF579EFEB77A4077C7FE2CD3D68CF657DFE474D" xr6:coauthVersionLast="47" xr6:coauthVersionMax="47" xr10:uidLastSave="{E24A881E-1CF2-4C6E-B3FD-1149B01D7442}"/>
  <bookViews>
    <workbookView xWindow="0" yWindow="0" windowWidth="16384" windowHeight="8192" tabRatio="500" xr2:uid="{00000000-000D-0000-FFFF-FFFF00000000}"/>
  </bookViews>
  <sheets>
    <sheet name="Controle glicêmico" sheetId="1" r:id="rId1"/>
    <sheet name="Planilha1" sheetId="2" r:id="rId2"/>
  </sheets>
  <calcPr calcId="191028" iterateDelta="1E-4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loext="http://schemas.libreoffice.org/" uri="{7626C862-2A13-11E5-B345-FEFF819CDC9F}">
      <loext:extCalcPr stringRefSyntax="ExcelA1"/>
    </ext>
  </extLst>
</workbook>
</file>

<file path=xl/calcChain.xml><?xml version="1.0" encoding="utf-8"?>
<calcChain xmlns="http://schemas.openxmlformats.org/spreadsheetml/2006/main">
  <c r="J23" i="1" l="1"/>
</calcChain>
</file>

<file path=xl/sharedStrings.xml><?xml version="1.0" encoding="utf-8"?>
<sst xmlns="http://schemas.openxmlformats.org/spreadsheetml/2006/main" count="39" uniqueCount="39">
  <si>
    <t>NOME:</t>
  </si>
  <si>
    <t xml:space="preserve">VICTORIA DE SOUSA MIRANDA </t>
  </si>
  <si>
    <t>Data de Nascimento:</t>
  </si>
  <si>
    <t>DUM</t>
  </si>
  <si>
    <t>Data</t>
  </si>
  <si>
    <t>Idade gestacional</t>
  </si>
  <si>
    <t>Jejum</t>
  </si>
  <si>
    <t>1h pós café</t>
  </si>
  <si>
    <t>antes do almoço</t>
  </si>
  <si>
    <t>1h pós almoço</t>
  </si>
  <si>
    <t>antes do jantar</t>
  </si>
  <si>
    <t>1h pós jantar</t>
  </si>
  <si>
    <t>3h da manhã</t>
  </si>
  <si>
    <t>ONLINE</t>
  </si>
  <si>
    <t>USG</t>
  </si>
  <si>
    <t>Planilha criada, confirmar DUM</t>
  </si>
  <si>
    <t>Aguardo valores - Enviou fora de prazo,irá necessitar de agendar nutri</t>
  </si>
  <si>
    <t xml:space="preserve">Reoriento dieta / Mariana </t>
  </si>
  <si>
    <t>Teleconsulta recente</t>
  </si>
  <si>
    <t>encamimho paciente para avaliação médica. Valores de jejum 100% alterados</t>
  </si>
  <si>
    <t xml:space="preserve">Encaminho WhatsApp e e-mail informando sobre introdução de insulina para NPH 0/0/8 . Proponho consulta com a enfermeira para orientação de uso. Reoriento 7x Enf Isabela </t>
  </si>
  <si>
    <t>Paciente refere internação por suspeita de pneumonia ou TB, não irá iniciar tratamento.</t>
  </si>
  <si>
    <t>ALTA HOSPITALAR</t>
  </si>
  <si>
    <t xml:space="preserve">Encaminho Whatsapp solicitando atualização do controle glicêmico. Nutri Carolina </t>
  </si>
  <si>
    <t>paciente recebeu alta dia 17/12 e não iniciou a insulina /  Encaminho WhatsApp e e-mail informando sobre introdução de insulina para NPH 0/0/8 e reoriento 7 medições. Proponho consulta com a enfermeira para orientação de uso. Nutri Carolina</t>
  </si>
  <si>
    <t>Encaminho Whatsapp solicitando atualização do controle glicêmico. Nutri Carolina</t>
  </si>
  <si>
    <t>Paciente ainda não iniciou o uso da insulina, resistente quanto ao uso</t>
  </si>
  <si>
    <t>GLICEMIA INICIAL</t>
  </si>
  <si>
    <t>TOTG</t>
  </si>
  <si>
    <t>HB GLICADA INICIAL</t>
  </si>
  <si>
    <t xml:space="preserve">HB GLICADA FINAL </t>
  </si>
  <si>
    <t>DATA AGENDAMENTO PARTO</t>
  </si>
  <si>
    <t>MÉDICO PRÉ NATAL</t>
  </si>
  <si>
    <t xml:space="preserve">CENTRO CLÍNICO </t>
  </si>
  <si>
    <t xml:space="preserve">DATA PARTO </t>
  </si>
  <si>
    <t xml:space="preserve">TIPO PARTO </t>
  </si>
  <si>
    <t>PESO NASCIMENTO</t>
  </si>
  <si>
    <t xml:space="preserve">UTI NEONATAL </t>
  </si>
  <si>
    <t>HOSPITAL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</si>
</sst>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d/m/yyyy"/>
    <numFmt numFmtId="165" formatCode="dd/mm/yy"/>
  </numFmts>
  <fonts count="10">
    <font>
      <sz val="10"/>
      <color rgb="FF000000"/>
      <name val="Arial"/>
      <charset val="1"/>
    </font>
    <font>
      <b/>
      <sz val="12"/>
      <color rgb="FF000000"/>
      <name val="Arial"/>
      <charset val="1"/>
    </font>
    <font>
      <sz val="12"/>
      <color rgb="FF000000"/>
      <name val="Arial"/>
      <family val="2"/>
      <charset val="1"/>
    </font>
    <font>
      <sz val="12"/>
      <color rgb="FF000000"/>
      <name val="Arial"/>
      <charset val="1"/>
    </font>
    <font>
      <sz val="10"/>
      <name val="Arial"/>
      <charset val="1"/>
    </font>
    <font>
      <sz val="12"/>
      <name val="Arial"/>
      <charset val="1"/>
    </font>
    <font>
      <b/>
      <sz val="10"/>
      <name val="Arial"/>
      <charset val="1"/>
    </font>
    <font>
      <sz val="12"/>
      <color rgb="FF000000"/>
      <name val="Arial"/>
    </font>
    <font>
      <sz val="12"/>
      <name val="Arial"/>
    </font>
    <font>
      <b/>
      <sz val="10"/>
      <color rgb="FF000000"/>
      <name val="Arial"/>
      <charset val="1"/>
    </font>
  </fonts>
  <fills count="11">
    <fill>
      <patternFill patternType="none"/>
    </fill>
    <fill>
      <patternFill patternType="gray125"/>
    </fill>
    <fill>
      <patternFill patternType="solid">
        <fgColor rgb="FFFFFFFF"/>
        <bgColor rgb="FFCCFFFF"/>
      </patternFill>
    </fill>
    <fill>
      <patternFill patternType="solid">
        <fgColor rgb="FFFFE699"/>
        <bgColor rgb="FFFFE994"/>
      </patternFill>
    </fill>
    <fill>
      <patternFill patternType="solid">
        <fgColor rgb="FFFFE994"/>
        <bgColor rgb="FFFFE699"/>
      </patternFill>
    </fill>
    <fill>
      <patternFill patternType="solid">
        <fgColor rgb="FFFFFF00"/>
        <bgColor rgb="FFFFFF00"/>
      </patternFill>
    </fill>
    <fill>
      <patternFill patternType="solid">
        <fgColor rgb="FFFFFFFF"/>
        <bgColor rgb="FFFFFFCC"/>
      </patternFill>
    </fill>
    <fill>
      <patternFill patternType="solid">
        <fgColor rgb="FFFFFFFF"/>
        <bgColor rgb="FF000000"/>
      </patternFill>
    </fill>
    <fill>
      <patternFill patternType="solid">
        <fgColor rgb="FFFFFF00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theme="5"/>
        <bgColor indexed="64"/>
      </patternFill>
    </fill>
  </fills>
  <borders count="1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/>
      <right style="thin">
        <color auto="1"/>
      </right>
      <top style="thin">
        <color auto="1"/>
      </top>
      <bottom/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</borders>
  <cellStyleXfs count="1">
    <xf numFmtId="0" fontId="0" fillId="0" borderId="0"/>
  </cellStyleXfs>
  <cellXfs count="34">
    <xf numFmtId="0" fontId="0" fillId="0" borderId="0" xfId="0"/>
    <xf numFmtId="0" fontId="0" fillId="2" borderId="0" xfId="0" applyFill="1"/>
    <xf numFmtId="164" fontId="1" fillId="3" borderId="1" xfId="0" applyNumberFormat="1" applyFont="1" applyFill="1" applyBorder="1" applyAlignment="1">
      <alignment horizontal="center" vertical="center" wrapText="1"/>
    </xf>
    <xf numFmtId="165" fontId="3" fillId="4" borderId="2" xfId="0" applyNumberFormat="1" applyFont="1" applyFill="1" applyBorder="1" applyAlignment="1">
      <alignment horizontal="center" vertical="center" wrapText="1"/>
    </xf>
    <xf numFmtId="165" fontId="3" fillId="3" borderId="2" xfId="0" applyNumberFormat="1" applyFont="1" applyFill="1" applyBorder="1" applyAlignment="1">
      <alignment horizontal="center" vertical="center" wrapText="1"/>
    </xf>
    <xf numFmtId="164" fontId="3" fillId="3" borderId="1" xfId="0" applyNumberFormat="1" applyFont="1" applyFill="1" applyBorder="1" applyAlignment="1">
      <alignment horizontal="center" vertical="center" wrapText="1"/>
    </xf>
    <xf numFmtId="0" fontId="4" fillId="2" borderId="0" xfId="0" applyFont="1" applyFill="1" applyAlignment="1">
      <alignment horizontal="center" vertical="center"/>
    </xf>
    <xf numFmtId="0" fontId="5" fillId="2" borderId="0" xfId="0" applyFont="1" applyFill="1" applyAlignment="1">
      <alignment horizontal="center" vertical="center" wrapText="1"/>
    </xf>
    <xf numFmtId="0" fontId="0" fillId="2" borderId="0" xfId="0" applyFill="1" applyAlignment="1">
      <alignment horizontal="center" vertical="center"/>
    </xf>
    <xf numFmtId="164" fontId="3" fillId="3" borderId="2" xfId="0" applyNumberFormat="1" applyFont="1" applyFill="1" applyBorder="1" applyAlignment="1">
      <alignment horizontal="center" vertical="center" wrapText="1"/>
    </xf>
    <xf numFmtId="0" fontId="3" fillId="3" borderId="1" xfId="0" applyFont="1" applyFill="1" applyBorder="1" applyAlignment="1">
      <alignment horizontal="center" vertical="center" wrapText="1"/>
    </xf>
    <xf numFmtId="164" fontId="5" fillId="2" borderId="1" xfId="0" applyNumberFormat="1" applyFont="1" applyFill="1" applyBorder="1" applyAlignment="1">
      <alignment horizontal="center" vertical="center"/>
    </xf>
    <xf numFmtId="0" fontId="5" fillId="5" borderId="0" xfId="0" applyFont="1" applyFill="1" applyAlignment="1">
      <alignment horizontal="center" vertical="center" wrapText="1"/>
    </xf>
    <xf numFmtId="0" fontId="6" fillId="2" borderId="1" xfId="0" applyFont="1" applyFill="1" applyBorder="1" applyAlignment="1">
      <alignment horizontal="center" vertical="center" wrapText="1"/>
    </xf>
    <xf numFmtId="0" fontId="6" fillId="2" borderId="3" xfId="0" applyFont="1" applyFill="1" applyBorder="1" applyAlignment="1">
      <alignment horizontal="center" vertical="center" wrapText="1"/>
    </xf>
    <xf numFmtId="0" fontId="7" fillId="6" borderId="4" xfId="0" applyFont="1" applyFill="1" applyBorder="1" applyAlignment="1">
      <alignment horizontal="center" vertical="center" wrapText="1"/>
    </xf>
    <xf numFmtId="0" fontId="7" fillId="6" borderId="5" xfId="0" applyFont="1" applyFill="1" applyBorder="1" applyAlignment="1">
      <alignment horizontal="center" vertical="center" wrapText="1"/>
    </xf>
    <xf numFmtId="0" fontId="9" fillId="8" borderId="0" xfId="0" applyFont="1" applyFill="1" applyAlignment="1">
      <alignment horizontal="center" vertical="center" wrapText="1"/>
    </xf>
    <xf numFmtId="0" fontId="9" fillId="8" borderId="0" xfId="0" applyFont="1" applyFill="1" applyAlignment="1">
      <alignment horizontal="center" vertical="center"/>
    </xf>
    <xf numFmtId="164" fontId="1" fillId="3" borderId="2" xfId="0" applyNumberFormat="1" applyFont="1" applyFill="1" applyBorder="1" applyAlignment="1">
      <alignment horizontal="center" vertical="center" wrapText="1"/>
    </xf>
    <xf numFmtId="0" fontId="0" fillId="2" borderId="6" xfId="0" applyFill="1" applyBorder="1" applyAlignment="1">
      <alignment horizontal="center" vertical="center"/>
    </xf>
    <xf numFmtId="0" fontId="0" fillId="2" borderId="6" xfId="0" applyFill="1" applyBorder="1"/>
    <xf numFmtId="0" fontId="8" fillId="6" borderId="4" xfId="0" applyFont="1" applyFill="1" applyBorder="1" applyAlignment="1">
      <alignment horizontal="center" vertical="center" wrapText="1"/>
    </xf>
    <xf numFmtId="0" fontId="7" fillId="7" borderId="4" xfId="0" applyFont="1" applyFill="1" applyBorder="1" applyAlignment="1">
      <alignment horizontal="center" vertical="center"/>
    </xf>
    <xf numFmtId="164" fontId="1" fillId="3" borderId="7" xfId="0" applyNumberFormat="1" applyFont="1" applyFill="1" applyBorder="1" applyAlignment="1">
      <alignment horizontal="center" vertical="center" wrapText="1"/>
    </xf>
    <xf numFmtId="164" fontId="1" fillId="3" borderId="8" xfId="0" applyNumberFormat="1" applyFont="1" applyFill="1" applyBorder="1" applyAlignment="1">
      <alignment horizontal="center" vertical="center" wrapText="1"/>
    </xf>
    <xf numFmtId="0" fontId="9" fillId="8" borderId="0" xfId="0" applyFont="1" applyFill="1" applyAlignment="1">
      <alignment vertical="top" wrapText="1"/>
    </xf>
    <xf numFmtId="0" fontId="0" fillId="2" borderId="4" xfId="0" applyFill="1" applyBorder="1" applyAlignment="1">
      <alignment horizontal="center" vertical="center"/>
    </xf>
    <xf numFmtId="0" fontId="0" fillId="2" borderId="9" xfId="0" applyFill="1" applyBorder="1" applyAlignment="1">
      <alignment horizontal="center" vertical="center"/>
    </xf>
    <xf numFmtId="0" fontId="0" fillId="2" borderId="10" xfId="0" applyFill="1" applyBorder="1" applyAlignment="1">
      <alignment horizontal="center" vertical="center"/>
    </xf>
    <xf numFmtId="0" fontId="0" fillId="2" borderId="11" xfId="0" applyFill="1" applyBorder="1" applyAlignment="1">
      <alignment horizontal="center" vertical="center"/>
    </xf>
    <xf numFmtId="165" fontId="2" fillId="3" borderId="1" xfId="0" applyNumberFormat="1" applyFont="1" applyFill="1" applyBorder="1" applyAlignment="1">
      <alignment horizontal="center" vertical="center" wrapText="1"/>
    </xf>
    <xf numFmtId="0" fontId="9" fillId="9" borderId="0" xfId="0" applyFont="1" applyFill="1" applyAlignment="1">
      <alignment horizontal="center" vertical="top" wrapText="1"/>
    </xf>
    <xf numFmtId="0" fontId="0" fillId="10" borderId="0" xfId="0" applyFill="1" applyAlignment="1">
      <alignment vertical="top" wrapText="1"/>
    </xf>
  </cellXfs>
  <cellStyles count="1">
    <cellStyle name="Normal" xfId="0" builtinId="0"/>
  </cellStyles>
  <dxfs count="8"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</dxfs>
  <tableStyles count="0" defaultTableStyle="TableStyleMedium2" defaultPivotStyle="PivotStyleLight16"/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9C0006"/>
      <rgbColor rgb="FF0061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FE699"/>
      <rgbColor rgb="FFCCFFFF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6EFCE"/>
      <rgbColor rgb="FFFFE994"/>
      <rgbColor rgb="FF99CCFF"/>
      <rgbColor rgb="FFFF99CC"/>
      <rgbColor rgb="FFCC99FF"/>
      <rgbColor rgb="FFFFC7CE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333333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0000000-000C-0000-FFFF-FFFF00000000}" name="Table_8" displayName="Table_8" ref="K1:Q2" headerRowCount="0" totalsRowShown="0">
  <tableColumns count="7">
    <tableColumn id="1" xr3:uid="{00000000-0010-0000-0000-000001000000}" name="Column4"/>
    <tableColumn id="2" xr3:uid="{00000000-0010-0000-0000-000002000000}" name="Column5"/>
    <tableColumn id="3" xr3:uid="{00000000-0010-0000-0000-000003000000}" name="Column6"/>
    <tableColumn id="4" xr3:uid="{00000000-0010-0000-0000-000004000000}" name="Column7"/>
    <tableColumn id="5" xr3:uid="{00000000-0010-0000-0000-000005000000}" name="Column8"/>
    <tableColumn id="6" xr3:uid="{00000000-0010-0000-0000-000006000000}" name="Column9"/>
    <tableColumn id="7" xr3:uid="{00000000-0010-0000-0000-000007000000}" name="Column10"/>
  </tableColumns>
  <tableStyleInfo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rgbClr val="000000"/>
      </a:dk1>
      <a:lt1>
        <a:srgbClr val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</a:majorFont>
      <a:minorFont>
        <a:latin typeface="Calibri" panose="020F0502020204030204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lumMod val="110000"/>
                <a:tint val="67000"/>
              </a:schemeClr>
            </a:gs>
            <a:gs pos="50000">
              <a:schemeClr val="phClr">
                <a:lumMod val="105000"/>
                <a:tint val="73000"/>
              </a:schemeClr>
            </a:gs>
            <a:gs pos="100000">
              <a:schemeClr val="phClr">
                <a:lumMod val="105000"/>
                <a:tint val="81000"/>
              </a:schemeClr>
            </a:gs>
          </a:gsLst>
          <a:lin ang="5400000" scaled="0"/>
          <a:tileRect/>
        </a:gradFill>
        <a:gradFill>
          <a:gsLst>
            <a:gs pos="0">
              <a:schemeClr val="phClr">
                <a:lumMod val="102000"/>
                <a:tint val="94000"/>
              </a:schemeClr>
            </a:gs>
            <a:gs pos="50000">
              <a:schemeClr val="phClr">
                <a:lumMod val="100000"/>
                <a:shade val="100000"/>
              </a:schemeClr>
            </a:gs>
            <a:gs pos="100000">
              <a:schemeClr val="phClr">
                <a:lumMod val="99000"/>
                <a:shade val="78000"/>
              </a:schemeClr>
            </a:gs>
          </a:gsLst>
          <a:lin ang="5400000" scaled="0"/>
          <a:tileRect/>
        </a:gradFill>
      </a:fillStyleLst>
      <a:lnStyleLst>
        <a:ln w="6350" cap="flat" cmpd="sng" algn="ctr">
          <a:prstDash val="solid"/>
          <a:miter lim="800000"/>
        </a:ln>
        <a:ln w="12700" cap="flat" cmpd="sng" algn="ctr">
          <a:prstDash val="solid"/>
          <a:miter lim="800000"/>
        </a:ln>
        <a:ln w="19050" cap="flat" cmpd="sng" algn="ctr"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>
            <a:tint val="95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</a:schemeClr>
            </a:gs>
            <a:gs pos="50000">
              <a:schemeClr val="phClr">
                <a:tint val="98000"/>
                <a:shade val="90000"/>
                <a:lumMod val="103000"/>
              </a:schemeClr>
            </a:gs>
            <a:gs pos="100000">
              <a:schemeClr val="phClr">
                <a:shade val="63000"/>
              </a:schemeClr>
            </a:gs>
          </a:gsLst>
          <a:lin ang="5400000" scaled="0"/>
          <a:tileRect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MM737"/>
  <sheetViews>
    <sheetView tabSelected="1" zoomScaleNormal="100" workbookViewId="0">
      <pane ySplit="2" topLeftCell="A45" activePane="bottomLeft" state="frozen"/>
      <selection pane="bottomLeft" activeCell="J2" sqref="J2"/>
    </sheetView>
  </sheetViews>
  <sheetFormatPr defaultColWidth="14.42578125" defaultRowHeight="12.75"/>
  <cols>
    <col min="1" max="2" width="14.42578125" style="1"/>
    <col min="3" max="3" width="13" style="1" customWidth="1"/>
    <col min="4" max="4" width="14.5703125" style="1" customWidth="1"/>
    <col min="5" max="5" width="13.85546875" style="1" customWidth="1"/>
    <col min="6" max="9" width="16.5703125" style="1" customWidth="1"/>
    <col min="10" max="10" width="24.5703125" style="1" customWidth="1"/>
    <col min="11" max="11" width="10.28515625" style="1" customWidth="1"/>
    <col min="12" max="13" width="14.42578125" style="1"/>
    <col min="14" max="14" width="11.140625" style="1" customWidth="1"/>
    <col min="15" max="15" width="14.85546875" style="1" customWidth="1"/>
    <col min="16" max="16" width="10.7109375" style="1" customWidth="1"/>
    <col min="17" max="1027" width="14.42578125" style="1"/>
  </cols>
  <sheetData>
    <row r="1" spans="1:1027" ht="41.25" customHeight="1">
      <c r="A1" s="2" t="s">
        <v>0</v>
      </c>
      <c r="B1" s="31" t="s">
        <v>1</v>
      </c>
      <c r="C1" s="31"/>
      <c r="D1" s="31"/>
      <c r="E1" s="31"/>
      <c r="F1" s="2" t="s">
        <v>2</v>
      </c>
      <c r="G1" s="19"/>
      <c r="H1" s="19"/>
      <c r="I1" s="19"/>
      <c r="J1" s="3">
        <v>36139</v>
      </c>
      <c r="K1" s="2" t="s">
        <v>3</v>
      </c>
      <c r="L1" s="4">
        <v>45888</v>
      </c>
      <c r="M1" s="5"/>
      <c r="N1" s="5"/>
      <c r="O1" s="5"/>
      <c r="P1" s="5"/>
      <c r="Q1" s="6"/>
      <c r="R1" s="7"/>
      <c r="S1" s="7"/>
      <c r="T1" s="7"/>
      <c r="U1" s="7"/>
      <c r="V1" s="7"/>
      <c r="W1" s="7"/>
      <c r="X1" s="7"/>
      <c r="Y1" s="8"/>
      <c r="Z1" s="8"/>
      <c r="AA1" s="8"/>
      <c r="AB1" s="8"/>
      <c r="AC1" s="8"/>
      <c r="AD1" s="8"/>
      <c r="AE1" s="8"/>
      <c r="AF1" s="8"/>
      <c r="AG1" s="8"/>
      <c r="AH1" s="8"/>
      <c r="AI1" s="8"/>
      <c r="AJ1" s="8"/>
      <c r="AK1" s="8"/>
      <c r="AL1" s="8"/>
      <c r="AM1" s="8"/>
      <c r="AN1" s="8"/>
      <c r="AO1" s="8"/>
      <c r="AP1" s="8"/>
      <c r="AQ1" s="8"/>
      <c r="AR1" s="8"/>
      <c r="AS1" s="8"/>
      <c r="AT1" s="8"/>
      <c r="AU1" s="8"/>
      <c r="AV1" s="8"/>
      <c r="AW1" s="8"/>
      <c r="AX1" s="8"/>
      <c r="AY1" s="8"/>
      <c r="AZ1" s="8"/>
      <c r="BA1" s="8"/>
      <c r="BB1" s="8"/>
      <c r="BC1" s="8"/>
      <c r="BD1" s="8"/>
      <c r="BE1" s="8"/>
      <c r="BF1" s="8"/>
      <c r="BG1" s="8"/>
      <c r="BH1" s="8"/>
      <c r="BI1" s="8"/>
      <c r="BJ1" s="8"/>
      <c r="BK1" s="8"/>
      <c r="BL1" s="8"/>
      <c r="BM1" s="8"/>
      <c r="BN1" s="8"/>
      <c r="BO1" s="8"/>
      <c r="BP1" s="8"/>
      <c r="BQ1" s="8"/>
      <c r="BR1" s="8"/>
      <c r="BS1" s="8"/>
      <c r="BT1" s="8"/>
      <c r="BU1" s="8"/>
      <c r="BV1" s="8"/>
      <c r="BW1" s="8"/>
      <c r="BX1" s="8"/>
      <c r="BY1" s="8"/>
      <c r="BZ1" s="8"/>
      <c r="CA1" s="8"/>
      <c r="CB1" s="8"/>
      <c r="CC1" s="8"/>
      <c r="CD1" s="8"/>
      <c r="CE1" s="8"/>
      <c r="CF1" s="8"/>
      <c r="CG1" s="8"/>
      <c r="CH1" s="8"/>
      <c r="CI1" s="8"/>
      <c r="CJ1" s="8"/>
      <c r="CK1" s="8"/>
      <c r="CL1" s="8"/>
      <c r="CM1" s="8"/>
      <c r="CN1" s="8"/>
      <c r="CO1" s="8"/>
      <c r="CP1" s="8"/>
      <c r="CQ1" s="8"/>
      <c r="CR1" s="8"/>
      <c r="CS1" s="8"/>
      <c r="CT1" s="8"/>
      <c r="CU1" s="8"/>
      <c r="CV1" s="8"/>
      <c r="CW1" s="8"/>
      <c r="CX1" s="8"/>
      <c r="CY1" s="8"/>
      <c r="CZ1" s="8"/>
      <c r="DA1" s="8"/>
      <c r="DB1" s="8"/>
      <c r="DC1" s="8"/>
      <c r="DD1" s="8"/>
      <c r="DE1" s="8"/>
      <c r="DF1" s="8"/>
      <c r="DG1" s="8"/>
      <c r="DH1" s="8"/>
      <c r="DI1" s="8"/>
      <c r="DJ1" s="8"/>
      <c r="DK1" s="8"/>
      <c r="DL1" s="8"/>
      <c r="DM1" s="8"/>
      <c r="DN1" s="8"/>
      <c r="DO1" s="8"/>
      <c r="DP1" s="8"/>
      <c r="DQ1" s="8"/>
      <c r="DR1" s="8"/>
      <c r="DS1" s="8"/>
      <c r="DT1" s="8"/>
      <c r="DU1" s="8"/>
      <c r="DV1" s="8"/>
      <c r="DW1" s="8"/>
      <c r="DX1" s="8"/>
      <c r="DY1" s="8"/>
      <c r="DZ1" s="8"/>
      <c r="EA1" s="8"/>
      <c r="EB1" s="8"/>
      <c r="EC1" s="8"/>
      <c r="ED1" s="8"/>
      <c r="EE1" s="8"/>
      <c r="EF1" s="8"/>
      <c r="EG1" s="8"/>
      <c r="EH1" s="8"/>
      <c r="EI1" s="8"/>
      <c r="EJ1" s="8"/>
      <c r="EK1" s="8"/>
      <c r="EL1" s="8"/>
      <c r="EM1" s="8"/>
      <c r="EN1" s="8"/>
      <c r="EO1" s="8"/>
      <c r="EP1" s="8"/>
      <c r="EQ1" s="8"/>
      <c r="ER1" s="8"/>
      <c r="ES1" s="8"/>
      <c r="ET1" s="8"/>
      <c r="EU1" s="8"/>
      <c r="EV1" s="8"/>
      <c r="EW1" s="8"/>
      <c r="EX1" s="8"/>
      <c r="EY1" s="8"/>
      <c r="EZ1" s="8"/>
      <c r="FA1" s="8"/>
      <c r="FB1" s="8"/>
      <c r="FC1" s="8"/>
      <c r="FD1" s="8"/>
      <c r="FE1" s="8"/>
      <c r="FF1" s="8"/>
      <c r="FG1" s="8"/>
      <c r="FH1" s="8"/>
      <c r="FI1" s="8"/>
      <c r="FJ1" s="8"/>
      <c r="FK1" s="8"/>
      <c r="FL1" s="8"/>
      <c r="FM1" s="8"/>
      <c r="FN1" s="8"/>
      <c r="FO1" s="8"/>
      <c r="FP1" s="8"/>
      <c r="FQ1" s="8"/>
      <c r="FR1" s="8"/>
      <c r="FS1" s="8"/>
      <c r="FT1" s="8"/>
      <c r="FU1" s="8"/>
      <c r="FV1" s="8"/>
      <c r="FW1" s="8"/>
      <c r="FX1" s="8"/>
      <c r="FY1" s="8"/>
      <c r="FZ1" s="8"/>
      <c r="GA1" s="8"/>
      <c r="GB1" s="8"/>
      <c r="GC1" s="8"/>
      <c r="GD1" s="8"/>
      <c r="GE1" s="8"/>
      <c r="GF1" s="8"/>
      <c r="GG1" s="8"/>
      <c r="GH1" s="8"/>
      <c r="GI1" s="8"/>
      <c r="GJ1" s="8"/>
      <c r="GK1" s="8"/>
      <c r="GL1" s="8"/>
      <c r="GM1" s="8"/>
      <c r="GN1" s="8"/>
      <c r="GO1" s="8"/>
      <c r="GP1" s="8"/>
      <c r="GQ1" s="8"/>
      <c r="GR1" s="8"/>
      <c r="GS1" s="8"/>
      <c r="GT1" s="8"/>
      <c r="GU1" s="8"/>
      <c r="GV1" s="8"/>
      <c r="GW1" s="8"/>
      <c r="GX1" s="8"/>
      <c r="GY1" s="8"/>
      <c r="GZ1" s="8"/>
      <c r="HA1" s="8"/>
      <c r="HB1" s="8"/>
      <c r="HC1" s="8"/>
      <c r="HD1" s="8"/>
      <c r="HE1" s="8"/>
      <c r="HF1" s="8"/>
      <c r="HG1" s="8"/>
      <c r="HH1" s="8"/>
      <c r="HI1" s="8"/>
      <c r="HJ1" s="8"/>
      <c r="HK1" s="8"/>
      <c r="HL1" s="8"/>
      <c r="HM1" s="8"/>
      <c r="HN1" s="8"/>
      <c r="HO1" s="8"/>
      <c r="HP1" s="8"/>
      <c r="HQ1" s="8"/>
      <c r="HR1" s="8"/>
      <c r="HS1" s="8"/>
      <c r="HT1" s="8"/>
      <c r="HU1" s="8"/>
      <c r="HV1" s="8"/>
      <c r="HW1" s="8"/>
      <c r="HX1" s="8"/>
      <c r="HY1" s="8"/>
      <c r="HZ1" s="8"/>
      <c r="IA1" s="8"/>
      <c r="IB1" s="8"/>
      <c r="IC1" s="8"/>
      <c r="ID1" s="8"/>
      <c r="IE1" s="8"/>
      <c r="IF1" s="8"/>
      <c r="IG1" s="8"/>
      <c r="IH1" s="8"/>
      <c r="II1" s="8"/>
      <c r="IJ1" s="8"/>
      <c r="IK1" s="8"/>
      <c r="IL1" s="8"/>
      <c r="IM1" s="8"/>
      <c r="IN1" s="8"/>
      <c r="IO1" s="8"/>
      <c r="IP1" s="8"/>
      <c r="IQ1" s="8"/>
      <c r="IR1" s="8"/>
      <c r="IS1" s="8"/>
      <c r="IT1" s="8"/>
      <c r="IU1" s="8"/>
      <c r="IV1" s="8"/>
      <c r="IW1" s="8"/>
      <c r="IX1" s="8"/>
      <c r="IY1" s="8"/>
      <c r="IZ1" s="8"/>
      <c r="JA1" s="8"/>
      <c r="JB1" s="8"/>
      <c r="JC1" s="8"/>
      <c r="JD1" s="8"/>
      <c r="JE1" s="8"/>
      <c r="JF1" s="8"/>
      <c r="JG1" s="8"/>
      <c r="JH1" s="8"/>
      <c r="JI1" s="8"/>
      <c r="JJ1" s="8"/>
      <c r="JK1" s="8"/>
      <c r="JL1" s="8"/>
      <c r="JM1" s="8"/>
      <c r="JN1" s="8"/>
      <c r="JO1" s="8"/>
      <c r="JP1" s="8"/>
      <c r="JQ1" s="8"/>
      <c r="JR1" s="8"/>
      <c r="JS1" s="8"/>
      <c r="JT1" s="8"/>
      <c r="JU1" s="8"/>
      <c r="JV1" s="8"/>
      <c r="JW1" s="8"/>
      <c r="JX1" s="8"/>
      <c r="JY1" s="8"/>
      <c r="JZ1" s="8"/>
      <c r="KA1" s="8"/>
      <c r="KB1" s="8"/>
      <c r="KC1" s="8"/>
      <c r="KD1" s="8"/>
      <c r="KE1" s="8"/>
      <c r="KF1" s="8"/>
      <c r="KG1" s="8"/>
      <c r="KH1" s="8"/>
      <c r="KI1" s="8"/>
      <c r="KJ1" s="8"/>
      <c r="KK1" s="8"/>
      <c r="KL1" s="8"/>
      <c r="KM1" s="8"/>
      <c r="KN1" s="8"/>
      <c r="KO1" s="8"/>
      <c r="KP1" s="8"/>
      <c r="KQ1" s="8"/>
      <c r="KR1" s="8"/>
      <c r="KS1" s="8"/>
      <c r="KT1" s="8"/>
      <c r="KU1" s="8"/>
      <c r="KV1" s="8"/>
      <c r="KW1" s="8"/>
      <c r="KX1" s="8"/>
      <c r="KY1" s="8"/>
      <c r="KZ1" s="8"/>
      <c r="LA1" s="8"/>
      <c r="LB1" s="8"/>
      <c r="LC1" s="8"/>
      <c r="LD1" s="8"/>
      <c r="LE1" s="8"/>
      <c r="LF1" s="8"/>
      <c r="LG1" s="8"/>
      <c r="LH1" s="8"/>
      <c r="LI1" s="8"/>
      <c r="LJ1" s="8"/>
      <c r="LK1" s="8"/>
      <c r="LL1" s="8"/>
      <c r="LM1" s="8"/>
      <c r="LN1" s="8"/>
      <c r="LO1" s="8"/>
      <c r="LP1" s="8"/>
      <c r="LQ1" s="8"/>
      <c r="LR1" s="8"/>
      <c r="LS1" s="8"/>
      <c r="LT1" s="8"/>
      <c r="LU1" s="8"/>
      <c r="LV1" s="8"/>
      <c r="LW1" s="8"/>
      <c r="LX1" s="8"/>
      <c r="LY1" s="8"/>
      <c r="LZ1" s="8"/>
      <c r="MA1" s="8"/>
      <c r="MB1" s="8"/>
      <c r="MC1" s="8"/>
      <c r="MD1" s="8"/>
      <c r="ME1" s="8"/>
      <c r="MF1" s="8"/>
      <c r="MG1" s="8"/>
      <c r="MH1" s="8"/>
      <c r="MI1" s="8"/>
      <c r="MJ1" s="8"/>
      <c r="MK1" s="8"/>
      <c r="ML1" s="8"/>
      <c r="MM1" s="8"/>
      <c r="MN1" s="8"/>
      <c r="MO1" s="8"/>
      <c r="MP1" s="8"/>
      <c r="MQ1" s="8"/>
      <c r="MR1" s="8"/>
      <c r="MS1" s="8"/>
      <c r="MT1" s="8"/>
      <c r="MU1" s="8"/>
      <c r="MV1" s="8"/>
      <c r="MW1" s="8"/>
      <c r="MX1" s="8"/>
      <c r="MY1" s="8"/>
      <c r="MZ1" s="8"/>
      <c r="NA1" s="8"/>
      <c r="NB1" s="8"/>
      <c r="NC1" s="8"/>
      <c r="ND1" s="8"/>
      <c r="NE1" s="8"/>
      <c r="NF1" s="8"/>
      <c r="NG1" s="8"/>
      <c r="NH1" s="8"/>
      <c r="NI1" s="8"/>
      <c r="NJ1" s="8"/>
      <c r="NK1" s="8"/>
      <c r="NL1" s="8"/>
      <c r="NM1" s="8"/>
      <c r="NN1" s="8"/>
      <c r="NO1" s="8"/>
      <c r="NP1" s="8"/>
      <c r="NQ1" s="8"/>
      <c r="NR1" s="8"/>
      <c r="NS1" s="8"/>
      <c r="NT1" s="8"/>
      <c r="NU1" s="8"/>
      <c r="NV1" s="8"/>
      <c r="NW1" s="8"/>
      <c r="NX1" s="8"/>
      <c r="NY1" s="8"/>
      <c r="NZ1" s="8"/>
      <c r="OA1" s="8"/>
      <c r="OB1" s="8"/>
      <c r="OC1" s="8"/>
      <c r="OD1" s="8"/>
      <c r="OE1" s="8"/>
      <c r="OF1" s="8"/>
      <c r="OG1" s="8"/>
      <c r="OH1" s="8"/>
      <c r="OI1" s="8"/>
      <c r="OJ1" s="8"/>
      <c r="OK1" s="8"/>
      <c r="OL1" s="8"/>
      <c r="OM1" s="8"/>
      <c r="ON1" s="8"/>
      <c r="OO1" s="8"/>
      <c r="OP1" s="8"/>
      <c r="OQ1" s="8"/>
      <c r="OR1" s="8"/>
      <c r="OS1" s="8"/>
      <c r="OT1" s="8"/>
      <c r="OU1" s="8"/>
      <c r="OV1" s="8"/>
      <c r="OW1" s="8"/>
      <c r="OX1" s="8"/>
      <c r="OY1" s="8"/>
      <c r="OZ1" s="8"/>
      <c r="PA1" s="8"/>
      <c r="PB1" s="8"/>
      <c r="PC1" s="8"/>
      <c r="PD1" s="8"/>
      <c r="PE1" s="8"/>
      <c r="PF1" s="8"/>
      <c r="PG1" s="8"/>
      <c r="PH1" s="8"/>
      <c r="PI1" s="8"/>
      <c r="PJ1" s="8"/>
      <c r="PK1" s="8"/>
      <c r="PL1" s="8"/>
      <c r="PM1" s="8"/>
      <c r="PN1" s="8"/>
      <c r="PO1" s="8"/>
      <c r="PP1" s="8"/>
      <c r="PQ1" s="8"/>
      <c r="PR1" s="8"/>
      <c r="PS1" s="8"/>
      <c r="PT1" s="8"/>
      <c r="PU1" s="8"/>
      <c r="PV1" s="8"/>
      <c r="PW1" s="8"/>
      <c r="PX1" s="8"/>
      <c r="PY1" s="8"/>
      <c r="PZ1" s="8"/>
      <c r="QA1" s="8"/>
      <c r="QB1" s="8"/>
      <c r="QC1" s="8"/>
      <c r="QD1" s="8"/>
      <c r="QE1" s="8"/>
      <c r="QF1" s="8"/>
      <c r="QG1" s="8"/>
      <c r="QH1" s="8"/>
      <c r="QI1" s="8"/>
      <c r="QJ1" s="8"/>
      <c r="QK1" s="8"/>
      <c r="QL1" s="8"/>
      <c r="QM1" s="8"/>
      <c r="QN1" s="8"/>
      <c r="QO1" s="8"/>
      <c r="QP1" s="8"/>
      <c r="QQ1" s="8"/>
      <c r="QR1" s="8"/>
      <c r="QS1" s="8"/>
      <c r="QT1" s="8"/>
      <c r="QU1" s="8"/>
      <c r="QV1" s="8"/>
      <c r="QW1" s="8"/>
      <c r="QX1" s="8"/>
      <c r="QY1" s="8"/>
      <c r="QZ1" s="8"/>
      <c r="RA1" s="8"/>
      <c r="RB1" s="8"/>
      <c r="RC1" s="8"/>
      <c r="RD1" s="8"/>
      <c r="RE1" s="8"/>
      <c r="RF1" s="8"/>
      <c r="RG1" s="8"/>
      <c r="RH1" s="8"/>
      <c r="RI1" s="8"/>
      <c r="RJ1" s="8"/>
      <c r="RK1" s="8"/>
      <c r="RL1" s="8"/>
      <c r="RM1" s="8"/>
      <c r="RN1" s="8"/>
      <c r="RO1" s="8"/>
      <c r="RP1" s="8"/>
      <c r="RQ1" s="8"/>
      <c r="RR1" s="8"/>
      <c r="RS1" s="8"/>
      <c r="RT1" s="8"/>
      <c r="RU1" s="8"/>
      <c r="RV1" s="8"/>
      <c r="RW1" s="8"/>
      <c r="RX1" s="8"/>
      <c r="RY1" s="8"/>
      <c r="RZ1" s="8"/>
      <c r="SA1" s="8"/>
      <c r="SB1" s="8"/>
      <c r="SC1" s="8"/>
      <c r="SD1" s="8"/>
      <c r="SE1" s="8"/>
      <c r="SF1" s="8"/>
      <c r="SG1" s="8"/>
      <c r="SH1" s="8"/>
      <c r="SI1" s="8"/>
      <c r="SJ1" s="8"/>
      <c r="SK1" s="8"/>
      <c r="SL1" s="8"/>
      <c r="SM1" s="8"/>
      <c r="SN1" s="8"/>
      <c r="SO1" s="8"/>
      <c r="SP1" s="8"/>
      <c r="SQ1" s="8"/>
      <c r="SR1" s="8"/>
      <c r="SS1" s="8"/>
      <c r="ST1" s="8"/>
      <c r="SU1" s="8"/>
      <c r="SV1" s="8"/>
      <c r="SW1" s="8"/>
      <c r="SX1" s="8"/>
      <c r="SY1" s="8"/>
      <c r="SZ1" s="8"/>
      <c r="TA1" s="8"/>
      <c r="TB1" s="8"/>
      <c r="TC1" s="8"/>
      <c r="TD1" s="8"/>
      <c r="TE1" s="8"/>
      <c r="TF1" s="8"/>
      <c r="TG1" s="8"/>
      <c r="TH1" s="8"/>
      <c r="TI1" s="8"/>
      <c r="TJ1" s="8"/>
      <c r="TK1" s="8"/>
      <c r="TL1" s="8"/>
      <c r="TM1" s="8"/>
      <c r="TN1" s="8"/>
      <c r="TO1" s="8"/>
      <c r="TP1" s="8"/>
      <c r="TQ1" s="8"/>
      <c r="TR1" s="8"/>
      <c r="TS1" s="8"/>
      <c r="TT1" s="8"/>
      <c r="TU1" s="8"/>
      <c r="TV1" s="8"/>
      <c r="TW1" s="8"/>
      <c r="TX1" s="8"/>
      <c r="TY1" s="8"/>
      <c r="TZ1" s="8"/>
      <c r="UA1" s="8"/>
      <c r="UB1" s="8"/>
      <c r="UC1" s="8"/>
      <c r="UD1" s="8"/>
      <c r="UE1" s="8"/>
      <c r="UF1" s="8"/>
      <c r="UG1" s="8"/>
      <c r="UH1" s="8"/>
      <c r="UI1" s="8"/>
      <c r="UJ1" s="8"/>
      <c r="UK1" s="8"/>
      <c r="UL1" s="8"/>
      <c r="UM1" s="8"/>
      <c r="UN1" s="8"/>
      <c r="UO1" s="8"/>
      <c r="UP1" s="8"/>
      <c r="UQ1" s="8"/>
      <c r="UR1" s="8"/>
      <c r="US1" s="8"/>
      <c r="UT1" s="8"/>
      <c r="UU1" s="8"/>
      <c r="UV1" s="8"/>
      <c r="UW1" s="8"/>
      <c r="UX1" s="8"/>
      <c r="UY1" s="8"/>
      <c r="UZ1" s="8"/>
      <c r="VA1" s="8"/>
      <c r="VB1" s="8"/>
      <c r="VC1" s="8"/>
      <c r="VD1" s="8"/>
      <c r="VE1" s="8"/>
      <c r="VF1" s="8"/>
      <c r="VG1" s="8"/>
      <c r="VH1" s="8"/>
      <c r="VI1" s="8"/>
      <c r="VJ1" s="8"/>
      <c r="VK1" s="8"/>
      <c r="VL1" s="8"/>
      <c r="VM1" s="8"/>
      <c r="VN1" s="8"/>
      <c r="VO1" s="8"/>
      <c r="VP1" s="8"/>
      <c r="VQ1" s="8"/>
      <c r="VR1" s="8"/>
      <c r="VS1" s="8"/>
      <c r="VT1" s="8"/>
      <c r="VU1" s="8"/>
      <c r="VV1" s="8"/>
      <c r="VW1" s="8"/>
      <c r="VX1" s="8"/>
      <c r="VY1" s="8"/>
      <c r="VZ1" s="8"/>
      <c r="WA1" s="8"/>
      <c r="WB1" s="8"/>
      <c r="WC1" s="8"/>
      <c r="WD1" s="8"/>
      <c r="WE1" s="8"/>
      <c r="WF1" s="8"/>
      <c r="WG1" s="8"/>
      <c r="WH1" s="8"/>
      <c r="WI1" s="8"/>
      <c r="WJ1" s="8"/>
      <c r="WK1" s="8"/>
      <c r="WL1" s="8"/>
      <c r="WM1" s="8"/>
      <c r="WN1" s="8"/>
      <c r="WO1" s="8"/>
      <c r="WP1" s="8"/>
      <c r="WQ1" s="8"/>
      <c r="WR1" s="8"/>
      <c r="WS1" s="8"/>
      <c r="WT1" s="8"/>
      <c r="WU1" s="8"/>
      <c r="WV1" s="8"/>
      <c r="WW1" s="8"/>
      <c r="WX1" s="8"/>
      <c r="WY1" s="8"/>
      <c r="WZ1" s="8"/>
      <c r="XA1" s="8"/>
      <c r="XB1" s="8"/>
      <c r="XC1" s="8"/>
      <c r="XD1" s="8"/>
      <c r="XE1" s="8"/>
      <c r="XF1" s="8"/>
      <c r="XG1" s="8"/>
      <c r="XH1" s="8"/>
      <c r="XI1" s="8"/>
      <c r="XJ1" s="8"/>
      <c r="XK1" s="8"/>
      <c r="XL1" s="8"/>
      <c r="XM1" s="8"/>
      <c r="XN1" s="8"/>
      <c r="XO1" s="8"/>
      <c r="XP1" s="8"/>
      <c r="XQ1" s="8"/>
      <c r="XR1" s="8"/>
      <c r="XS1" s="8"/>
      <c r="XT1" s="8"/>
      <c r="XU1" s="8"/>
      <c r="XV1" s="8"/>
      <c r="XW1" s="8"/>
      <c r="XX1" s="8"/>
      <c r="XY1" s="8"/>
      <c r="XZ1" s="8"/>
      <c r="YA1" s="8"/>
      <c r="YB1" s="8"/>
      <c r="YC1" s="8"/>
      <c r="YD1" s="8"/>
      <c r="YE1" s="8"/>
      <c r="YF1" s="8"/>
      <c r="YG1" s="8"/>
      <c r="YH1" s="8"/>
      <c r="YI1" s="8"/>
      <c r="YJ1" s="8"/>
      <c r="YK1" s="8"/>
      <c r="YL1" s="8"/>
      <c r="YM1" s="8"/>
      <c r="YN1" s="8"/>
      <c r="YO1" s="8"/>
      <c r="YP1" s="8"/>
      <c r="YQ1" s="8"/>
      <c r="YR1" s="8"/>
      <c r="YS1" s="8"/>
      <c r="YT1" s="8"/>
      <c r="YU1" s="8"/>
      <c r="YV1" s="8"/>
      <c r="YW1" s="8"/>
      <c r="YX1" s="8"/>
      <c r="YY1" s="8"/>
      <c r="YZ1" s="8"/>
      <c r="ZA1" s="8"/>
      <c r="ZB1" s="8"/>
      <c r="ZC1" s="8"/>
      <c r="ZD1" s="8"/>
      <c r="ZE1" s="8"/>
      <c r="ZF1" s="8"/>
      <c r="ZG1" s="8"/>
      <c r="ZH1" s="8"/>
      <c r="ZI1" s="8"/>
      <c r="ZJ1" s="8"/>
      <c r="ZK1" s="8"/>
      <c r="ZL1" s="8"/>
      <c r="ZM1" s="8"/>
      <c r="ZN1" s="8"/>
      <c r="ZO1" s="8"/>
      <c r="ZP1" s="8"/>
      <c r="ZQ1" s="8"/>
      <c r="ZR1" s="8"/>
      <c r="ZS1" s="8"/>
      <c r="ZT1" s="8"/>
      <c r="ZU1" s="8"/>
      <c r="ZV1" s="8"/>
      <c r="ZW1" s="8"/>
      <c r="ZX1" s="8"/>
      <c r="ZY1" s="8"/>
      <c r="ZZ1" s="8"/>
      <c r="AAA1" s="8"/>
      <c r="AAB1" s="8"/>
      <c r="AAC1" s="8"/>
      <c r="AAD1" s="8"/>
      <c r="AAE1" s="8"/>
      <c r="AAF1" s="8"/>
      <c r="AAG1" s="8"/>
      <c r="AAH1" s="8"/>
      <c r="AAI1" s="8"/>
      <c r="AAJ1" s="8"/>
      <c r="AAK1" s="8"/>
      <c r="AAL1" s="8"/>
      <c r="AAM1" s="8"/>
      <c r="AAN1" s="8"/>
      <c r="AAO1" s="8"/>
      <c r="AAP1" s="8"/>
      <c r="AAQ1" s="8"/>
      <c r="AAR1" s="8"/>
      <c r="AAS1" s="8"/>
      <c r="AAT1" s="8"/>
      <c r="AAU1" s="8"/>
      <c r="AAV1" s="8"/>
      <c r="AAW1" s="8"/>
      <c r="AAX1" s="8"/>
      <c r="AAY1" s="8"/>
      <c r="AAZ1" s="8"/>
      <c r="ABA1" s="8"/>
      <c r="ABB1" s="8"/>
      <c r="ABC1" s="8"/>
      <c r="ABD1" s="8"/>
      <c r="ABE1" s="8"/>
      <c r="ABF1" s="8"/>
      <c r="ABG1" s="8"/>
      <c r="ABH1" s="8"/>
      <c r="ABI1" s="8"/>
      <c r="ABJ1" s="8"/>
      <c r="ABK1" s="8"/>
      <c r="ABL1" s="8"/>
      <c r="ABM1" s="8"/>
      <c r="ABN1" s="8"/>
      <c r="ABO1" s="8"/>
      <c r="ABP1" s="8"/>
      <c r="ABQ1" s="8"/>
      <c r="ABR1" s="8"/>
      <c r="ABS1" s="8"/>
      <c r="ABT1" s="8"/>
      <c r="ABU1" s="8"/>
      <c r="ABV1" s="8"/>
      <c r="ABW1" s="8"/>
      <c r="ABX1" s="8"/>
      <c r="ABY1" s="8"/>
      <c r="ABZ1" s="8"/>
      <c r="ACA1" s="8"/>
      <c r="ACB1" s="8"/>
      <c r="ACC1" s="8"/>
      <c r="ACD1" s="8"/>
      <c r="ACE1" s="8"/>
      <c r="ACF1" s="8"/>
      <c r="ACG1" s="8"/>
      <c r="ACH1" s="8"/>
      <c r="ACI1" s="8"/>
      <c r="ACJ1" s="8"/>
      <c r="ACK1" s="8"/>
      <c r="ACL1" s="8"/>
      <c r="ACM1" s="8"/>
      <c r="ACN1" s="8"/>
      <c r="ACO1" s="8"/>
      <c r="ACP1" s="8"/>
      <c r="ACQ1" s="8"/>
      <c r="ACR1" s="8"/>
      <c r="ACS1" s="8"/>
      <c r="ACT1" s="8"/>
      <c r="ACU1" s="8"/>
      <c r="ACV1" s="8"/>
      <c r="ACW1" s="8"/>
      <c r="ACX1" s="8"/>
      <c r="ACY1" s="8"/>
      <c r="ACZ1" s="8"/>
      <c r="ADA1" s="8"/>
      <c r="ADB1" s="8"/>
      <c r="ADC1" s="8"/>
      <c r="ADD1" s="8"/>
      <c r="ADE1" s="8"/>
      <c r="ADF1" s="8"/>
      <c r="ADG1" s="8"/>
      <c r="ADH1" s="8"/>
      <c r="ADI1" s="8"/>
      <c r="ADJ1" s="8"/>
      <c r="ADK1" s="8"/>
      <c r="ADL1" s="8"/>
      <c r="ADM1" s="8"/>
      <c r="ADN1" s="8"/>
      <c r="ADO1" s="8"/>
      <c r="ADP1" s="8"/>
      <c r="ADQ1" s="8"/>
      <c r="ADR1" s="8"/>
      <c r="ADS1" s="8"/>
      <c r="ADT1" s="8"/>
      <c r="ADU1" s="8"/>
      <c r="ADV1" s="8"/>
      <c r="ADW1" s="8"/>
      <c r="ADX1" s="8"/>
      <c r="ADY1" s="8"/>
      <c r="ADZ1" s="8"/>
      <c r="AEA1" s="8"/>
      <c r="AEB1" s="8"/>
      <c r="AEC1" s="8"/>
      <c r="AED1" s="8"/>
      <c r="AEE1" s="8"/>
      <c r="AEF1" s="8"/>
      <c r="AEG1" s="8"/>
      <c r="AEH1" s="8"/>
      <c r="AEI1" s="8"/>
      <c r="AEJ1" s="8"/>
      <c r="AEK1" s="8"/>
      <c r="AEL1" s="8"/>
      <c r="AEM1" s="8"/>
      <c r="AEN1" s="8"/>
      <c r="AEO1" s="8"/>
      <c r="AEP1" s="8"/>
      <c r="AEQ1" s="8"/>
      <c r="AER1" s="8"/>
      <c r="AES1" s="8"/>
      <c r="AET1" s="8"/>
      <c r="AEU1" s="8"/>
      <c r="AEV1" s="8"/>
      <c r="AEW1" s="8"/>
      <c r="AEX1" s="8"/>
      <c r="AEY1" s="8"/>
      <c r="AEZ1" s="8"/>
      <c r="AFA1" s="8"/>
      <c r="AFB1" s="8"/>
      <c r="AFC1" s="8"/>
      <c r="AFD1" s="8"/>
      <c r="AFE1" s="8"/>
      <c r="AFF1" s="8"/>
      <c r="AFG1" s="8"/>
      <c r="AFH1" s="8"/>
      <c r="AFI1" s="8"/>
      <c r="AFJ1" s="8"/>
      <c r="AFK1" s="8"/>
      <c r="AFL1" s="8"/>
      <c r="AFM1" s="8"/>
      <c r="AFN1" s="8"/>
      <c r="AFO1" s="8"/>
      <c r="AFP1" s="8"/>
      <c r="AFQ1" s="8"/>
      <c r="AFR1" s="8"/>
      <c r="AFS1" s="8"/>
      <c r="AFT1" s="8"/>
      <c r="AFU1" s="8"/>
      <c r="AFV1" s="8"/>
      <c r="AFW1" s="8"/>
      <c r="AFX1" s="8"/>
      <c r="AFY1" s="8"/>
      <c r="AFZ1" s="8"/>
      <c r="AGA1" s="8"/>
      <c r="AGB1" s="8"/>
      <c r="AGC1" s="8"/>
      <c r="AGD1" s="8"/>
      <c r="AGE1" s="8"/>
      <c r="AGF1" s="8"/>
      <c r="AGG1" s="8"/>
      <c r="AGH1" s="8"/>
      <c r="AGI1" s="8"/>
      <c r="AGJ1" s="8"/>
      <c r="AGK1" s="8"/>
      <c r="AGL1" s="8"/>
      <c r="AGM1" s="8"/>
      <c r="AGN1" s="8"/>
      <c r="AGO1" s="8"/>
      <c r="AGP1" s="8"/>
      <c r="AGQ1" s="8"/>
      <c r="AGR1" s="8"/>
      <c r="AGS1" s="8"/>
      <c r="AGT1" s="8"/>
      <c r="AGU1" s="8"/>
      <c r="AGV1" s="8"/>
      <c r="AGW1" s="8"/>
      <c r="AGX1" s="8"/>
      <c r="AGY1" s="8"/>
      <c r="AGZ1" s="8"/>
      <c r="AHA1" s="8"/>
      <c r="AHB1" s="8"/>
      <c r="AHC1" s="8"/>
      <c r="AHD1" s="8"/>
      <c r="AHE1" s="8"/>
      <c r="AHF1" s="8"/>
      <c r="AHG1" s="8"/>
      <c r="AHH1" s="8"/>
      <c r="AHI1" s="8"/>
      <c r="AHJ1" s="8"/>
      <c r="AHK1" s="8"/>
      <c r="AHL1" s="8"/>
      <c r="AHM1" s="8"/>
      <c r="AHN1" s="8"/>
      <c r="AHO1" s="8"/>
      <c r="AHP1" s="8"/>
      <c r="AHQ1" s="8"/>
      <c r="AHR1" s="8"/>
      <c r="AHS1" s="8"/>
      <c r="AHT1" s="8"/>
      <c r="AHU1" s="8"/>
      <c r="AHV1" s="8"/>
      <c r="AHW1" s="8"/>
      <c r="AHX1" s="8"/>
      <c r="AHY1" s="8"/>
      <c r="AHZ1" s="8"/>
      <c r="AIA1" s="8"/>
      <c r="AIB1" s="8"/>
      <c r="AIC1" s="8"/>
      <c r="AID1" s="8"/>
      <c r="AIE1" s="8"/>
      <c r="AIF1" s="8"/>
      <c r="AIG1" s="8"/>
      <c r="AIH1" s="8"/>
      <c r="AII1" s="8"/>
      <c r="AIJ1" s="8"/>
      <c r="AIK1" s="8"/>
      <c r="AIL1" s="8"/>
      <c r="AIM1" s="8"/>
      <c r="AIN1" s="8"/>
      <c r="AIO1" s="8"/>
      <c r="AIP1" s="8"/>
      <c r="AIQ1" s="8"/>
      <c r="AIR1" s="8"/>
      <c r="AIS1" s="8"/>
      <c r="AIT1" s="8"/>
      <c r="AIU1" s="8"/>
      <c r="AIV1" s="8"/>
      <c r="AIW1" s="8"/>
      <c r="AIX1" s="8"/>
      <c r="AIY1" s="8"/>
      <c r="AIZ1" s="8"/>
      <c r="AJA1" s="8"/>
      <c r="AJB1" s="8"/>
      <c r="AJC1" s="8"/>
      <c r="AJD1" s="8"/>
      <c r="AJE1" s="8"/>
      <c r="AJF1" s="8"/>
      <c r="AJG1" s="8"/>
      <c r="AJH1" s="8"/>
      <c r="AJI1" s="8"/>
      <c r="AJJ1" s="8"/>
      <c r="AJK1" s="8"/>
      <c r="AJL1" s="8"/>
      <c r="AJM1" s="8"/>
      <c r="AJN1" s="8"/>
      <c r="AJO1" s="8"/>
      <c r="AJP1" s="8"/>
      <c r="AJQ1" s="8"/>
      <c r="AJR1" s="8"/>
      <c r="AJS1" s="8"/>
      <c r="AJT1" s="8"/>
      <c r="AJU1" s="8"/>
      <c r="AJV1" s="8"/>
      <c r="AJW1" s="8"/>
      <c r="AJX1" s="8"/>
      <c r="AJY1" s="8"/>
      <c r="AJZ1" s="8"/>
      <c r="AKA1" s="8"/>
      <c r="AKB1" s="8"/>
      <c r="AKC1" s="8"/>
      <c r="AKD1" s="8"/>
      <c r="AKE1" s="8"/>
      <c r="AKF1" s="8"/>
      <c r="AKG1" s="8"/>
      <c r="AKH1" s="8"/>
      <c r="AKI1" s="8"/>
      <c r="AKJ1" s="8"/>
      <c r="AKK1" s="8"/>
      <c r="AKL1" s="8"/>
      <c r="AKM1" s="8"/>
      <c r="AKN1" s="8"/>
      <c r="AKO1" s="8"/>
      <c r="AKP1" s="8"/>
      <c r="AKQ1" s="8"/>
      <c r="AKR1" s="8"/>
      <c r="AKS1" s="8"/>
      <c r="AKT1" s="8"/>
      <c r="AKU1" s="8"/>
      <c r="AKV1" s="8"/>
      <c r="AKW1" s="8"/>
      <c r="AKX1" s="8"/>
      <c r="AKY1" s="8"/>
      <c r="AKZ1" s="8"/>
      <c r="ALA1" s="8"/>
      <c r="ALB1" s="8"/>
      <c r="ALC1" s="8"/>
      <c r="ALD1" s="8"/>
      <c r="ALE1" s="8"/>
      <c r="ALF1" s="8"/>
      <c r="ALG1" s="8"/>
      <c r="ALH1" s="8"/>
      <c r="ALI1" s="8"/>
      <c r="ALJ1" s="8"/>
      <c r="ALK1" s="8"/>
      <c r="ALL1" s="8"/>
      <c r="ALM1" s="8"/>
      <c r="ALN1" s="8"/>
      <c r="ALO1" s="8"/>
      <c r="ALP1" s="8"/>
      <c r="ALQ1" s="8"/>
      <c r="ALR1" s="8"/>
      <c r="ALS1" s="8"/>
      <c r="ALT1" s="8"/>
      <c r="ALU1" s="8"/>
      <c r="ALV1" s="8"/>
      <c r="ALW1" s="8"/>
      <c r="ALX1" s="8"/>
      <c r="ALY1" s="8"/>
      <c r="ALZ1" s="8"/>
      <c r="AMA1" s="8"/>
      <c r="AMB1" s="8"/>
      <c r="AMC1" s="8"/>
      <c r="AMD1" s="8"/>
      <c r="AME1" s="8"/>
      <c r="AMF1" s="8"/>
      <c r="AMG1" s="8"/>
      <c r="AMH1" s="8"/>
      <c r="AMI1" s="8"/>
      <c r="AMJ1" s="8"/>
      <c r="AMK1" s="8"/>
      <c r="AML1" s="8"/>
      <c r="AMM1" s="8"/>
    </row>
    <row r="2" spans="1:1027" ht="39" customHeight="1">
      <c r="A2" s="2" t="s">
        <v>4</v>
      </c>
      <c r="B2" s="2" t="s">
        <v>5</v>
      </c>
      <c r="C2" s="24" t="s">
        <v>6</v>
      </c>
      <c r="D2" s="24" t="s">
        <v>7</v>
      </c>
      <c r="E2" s="24" t="s">
        <v>8</v>
      </c>
      <c r="F2" s="24" t="s">
        <v>9</v>
      </c>
      <c r="G2" s="25" t="s">
        <v>10</v>
      </c>
      <c r="H2" s="24" t="s">
        <v>11</v>
      </c>
      <c r="I2" s="25" t="s">
        <v>12</v>
      </c>
      <c r="J2" s="9" t="s">
        <v>13</v>
      </c>
      <c r="K2" s="2" t="s">
        <v>14</v>
      </c>
      <c r="L2" s="5"/>
      <c r="M2" s="10"/>
      <c r="N2" s="10"/>
      <c r="O2" s="5"/>
      <c r="P2" s="5"/>
      <c r="Q2" s="7"/>
      <c r="R2" s="7"/>
      <c r="S2" s="7"/>
      <c r="T2" s="7"/>
      <c r="U2" s="7"/>
      <c r="V2" s="7"/>
      <c r="W2" s="7"/>
      <c r="X2" s="7"/>
      <c r="Y2" s="8"/>
      <c r="Z2" s="8"/>
      <c r="AA2" s="8"/>
      <c r="AB2" s="8"/>
      <c r="AC2" s="8"/>
      <c r="AD2" s="8"/>
      <c r="AE2" s="8"/>
      <c r="AF2" s="8"/>
      <c r="AG2" s="8"/>
      <c r="AH2" s="8"/>
      <c r="AI2" s="8"/>
      <c r="AJ2" s="8"/>
      <c r="AK2" s="8"/>
      <c r="AL2" s="8"/>
      <c r="AM2" s="8"/>
      <c r="AN2" s="8"/>
      <c r="AO2" s="8"/>
      <c r="AP2" s="8"/>
      <c r="AQ2" s="8"/>
      <c r="AR2" s="8"/>
      <c r="AS2" s="8"/>
      <c r="AT2" s="8"/>
      <c r="AU2" s="8"/>
      <c r="AV2" s="8"/>
      <c r="AW2" s="8"/>
      <c r="AX2" s="8"/>
      <c r="AY2" s="8"/>
      <c r="AZ2" s="8"/>
      <c r="BA2" s="8"/>
      <c r="BB2" s="8"/>
      <c r="BC2" s="8"/>
      <c r="BD2" s="8"/>
      <c r="BE2" s="8"/>
      <c r="BF2" s="8"/>
      <c r="BG2" s="8"/>
      <c r="BH2" s="8"/>
      <c r="BI2" s="8"/>
      <c r="BJ2" s="8"/>
      <c r="BK2" s="8"/>
      <c r="BL2" s="8"/>
      <c r="BM2" s="8"/>
      <c r="BN2" s="8"/>
      <c r="BO2" s="8"/>
      <c r="BP2" s="8"/>
      <c r="BQ2" s="8"/>
      <c r="BR2" s="8"/>
      <c r="BS2" s="8"/>
      <c r="BT2" s="8"/>
      <c r="BU2" s="8"/>
      <c r="BV2" s="8"/>
      <c r="BW2" s="8"/>
      <c r="BX2" s="8"/>
      <c r="BY2" s="8"/>
      <c r="BZ2" s="8"/>
      <c r="CA2" s="8"/>
      <c r="CB2" s="8"/>
      <c r="CC2" s="8"/>
      <c r="CD2" s="8"/>
      <c r="CE2" s="8"/>
      <c r="CF2" s="8"/>
      <c r="CG2" s="8"/>
      <c r="CH2" s="8"/>
      <c r="CI2" s="8"/>
      <c r="CJ2" s="8"/>
      <c r="CK2" s="8"/>
      <c r="CL2" s="8"/>
      <c r="CM2" s="8"/>
      <c r="CN2" s="8"/>
      <c r="CO2" s="8"/>
      <c r="CP2" s="8"/>
      <c r="CQ2" s="8"/>
      <c r="CR2" s="8"/>
      <c r="CS2" s="8"/>
      <c r="CT2" s="8"/>
      <c r="CU2" s="8"/>
      <c r="CV2" s="8"/>
      <c r="CW2" s="8"/>
      <c r="CX2" s="8"/>
      <c r="CY2" s="8"/>
      <c r="CZ2" s="8"/>
      <c r="DA2" s="8"/>
      <c r="DB2" s="8"/>
      <c r="DC2" s="8"/>
      <c r="DD2" s="8"/>
      <c r="DE2" s="8"/>
      <c r="DF2" s="8"/>
      <c r="DG2" s="8"/>
      <c r="DH2" s="8"/>
      <c r="DI2" s="8"/>
      <c r="DJ2" s="8"/>
      <c r="DK2" s="8"/>
      <c r="DL2" s="8"/>
      <c r="DM2" s="8"/>
      <c r="DN2" s="8"/>
      <c r="DO2" s="8"/>
      <c r="DP2" s="8"/>
      <c r="DQ2" s="8"/>
      <c r="DR2" s="8"/>
      <c r="DS2" s="8"/>
      <c r="DT2" s="8"/>
      <c r="DU2" s="8"/>
      <c r="DV2" s="8"/>
      <c r="DW2" s="8"/>
      <c r="DX2" s="8"/>
      <c r="DY2" s="8"/>
      <c r="DZ2" s="8"/>
      <c r="EA2" s="8"/>
      <c r="EB2" s="8"/>
      <c r="EC2" s="8"/>
      <c r="ED2" s="8"/>
      <c r="EE2" s="8"/>
      <c r="EF2" s="8"/>
      <c r="EG2" s="8"/>
      <c r="EH2" s="8"/>
      <c r="EI2" s="8"/>
      <c r="EJ2" s="8"/>
      <c r="EK2" s="8"/>
      <c r="EL2" s="8"/>
      <c r="EM2" s="8"/>
      <c r="EN2" s="8"/>
      <c r="EO2" s="8"/>
      <c r="EP2" s="8"/>
      <c r="EQ2" s="8"/>
      <c r="ER2" s="8"/>
      <c r="ES2" s="8"/>
      <c r="ET2" s="8"/>
      <c r="EU2" s="8"/>
      <c r="EV2" s="8"/>
      <c r="EW2" s="8"/>
      <c r="EX2" s="8"/>
      <c r="EY2" s="8"/>
      <c r="EZ2" s="8"/>
      <c r="FA2" s="8"/>
      <c r="FB2" s="8"/>
      <c r="FC2" s="8"/>
      <c r="FD2" s="8"/>
      <c r="FE2" s="8"/>
      <c r="FF2" s="8"/>
      <c r="FG2" s="8"/>
      <c r="FH2" s="8"/>
      <c r="FI2" s="8"/>
      <c r="FJ2" s="8"/>
      <c r="FK2" s="8"/>
      <c r="FL2" s="8"/>
      <c r="FM2" s="8"/>
      <c r="FN2" s="8"/>
      <c r="FO2" s="8"/>
      <c r="FP2" s="8"/>
      <c r="FQ2" s="8"/>
      <c r="FR2" s="8"/>
      <c r="FS2" s="8"/>
      <c r="FT2" s="8"/>
      <c r="FU2" s="8"/>
      <c r="FV2" s="8"/>
      <c r="FW2" s="8"/>
      <c r="FX2" s="8"/>
      <c r="FY2" s="8"/>
      <c r="FZ2" s="8"/>
      <c r="GA2" s="8"/>
      <c r="GB2" s="8"/>
      <c r="GC2" s="8"/>
      <c r="GD2" s="8"/>
      <c r="GE2" s="8"/>
      <c r="GF2" s="8"/>
      <c r="GG2" s="8"/>
      <c r="GH2" s="8"/>
      <c r="GI2" s="8"/>
      <c r="GJ2" s="8"/>
      <c r="GK2" s="8"/>
      <c r="GL2" s="8"/>
      <c r="GM2" s="8"/>
      <c r="GN2" s="8"/>
      <c r="GO2" s="8"/>
      <c r="GP2" s="8"/>
      <c r="GQ2" s="8"/>
      <c r="GR2" s="8"/>
      <c r="GS2" s="8"/>
      <c r="GT2" s="8"/>
      <c r="GU2" s="8"/>
      <c r="GV2" s="8"/>
      <c r="GW2" s="8"/>
      <c r="GX2" s="8"/>
      <c r="GY2" s="8"/>
      <c r="GZ2" s="8"/>
      <c r="HA2" s="8"/>
      <c r="HB2" s="8"/>
      <c r="HC2" s="8"/>
      <c r="HD2" s="8"/>
      <c r="HE2" s="8"/>
      <c r="HF2" s="8"/>
      <c r="HG2" s="8"/>
      <c r="HH2" s="8"/>
      <c r="HI2" s="8"/>
      <c r="HJ2" s="8"/>
      <c r="HK2" s="8"/>
      <c r="HL2" s="8"/>
      <c r="HM2" s="8"/>
      <c r="HN2" s="8"/>
      <c r="HO2" s="8"/>
      <c r="HP2" s="8"/>
      <c r="HQ2" s="8"/>
      <c r="HR2" s="8"/>
      <c r="HS2" s="8"/>
      <c r="HT2" s="8"/>
      <c r="HU2" s="8"/>
      <c r="HV2" s="8"/>
      <c r="HW2" s="8"/>
      <c r="HX2" s="8"/>
      <c r="HY2" s="8"/>
      <c r="HZ2" s="8"/>
      <c r="IA2" s="8"/>
      <c r="IB2" s="8"/>
      <c r="IC2" s="8"/>
      <c r="ID2" s="8"/>
      <c r="IE2" s="8"/>
      <c r="IF2" s="8"/>
      <c r="IG2" s="8"/>
      <c r="IH2" s="8"/>
      <c r="II2" s="8"/>
      <c r="IJ2" s="8"/>
      <c r="IK2" s="8"/>
      <c r="IL2" s="8"/>
      <c r="IM2" s="8"/>
      <c r="IN2" s="8"/>
      <c r="IO2" s="8"/>
      <c r="IP2" s="8"/>
      <c r="IQ2" s="8"/>
      <c r="IR2" s="8"/>
      <c r="IS2" s="8"/>
      <c r="IT2" s="8"/>
      <c r="IU2" s="8"/>
      <c r="IV2" s="8"/>
      <c r="IW2" s="8"/>
      <c r="IX2" s="8"/>
      <c r="IY2" s="8"/>
      <c r="IZ2" s="8"/>
      <c r="JA2" s="8"/>
      <c r="JB2" s="8"/>
      <c r="JC2" s="8"/>
      <c r="JD2" s="8"/>
      <c r="JE2" s="8"/>
      <c r="JF2" s="8"/>
      <c r="JG2" s="8"/>
      <c r="JH2" s="8"/>
      <c r="JI2" s="8"/>
      <c r="JJ2" s="8"/>
      <c r="JK2" s="8"/>
      <c r="JL2" s="8"/>
      <c r="JM2" s="8"/>
      <c r="JN2" s="8"/>
      <c r="JO2" s="8"/>
      <c r="JP2" s="8"/>
      <c r="JQ2" s="8"/>
      <c r="JR2" s="8"/>
      <c r="JS2" s="8"/>
      <c r="JT2" s="8"/>
      <c r="JU2" s="8"/>
      <c r="JV2" s="8"/>
      <c r="JW2" s="8"/>
      <c r="JX2" s="8"/>
      <c r="JY2" s="8"/>
      <c r="JZ2" s="8"/>
      <c r="KA2" s="8"/>
      <c r="KB2" s="8"/>
      <c r="KC2" s="8"/>
      <c r="KD2" s="8"/>
      <c r="KE2" s="8"/>
      <c r="KF2" s="8"/>
      <c r="KG2" s="8"/>
      <c r="KH2" s="8"/>
      <c r="KI2" s="8"/>
      <c r="KJ2" s="8"/>
      <c r="KK2" s="8"/>
      <c r="KL2" s="8"/>
      <c r="KM2" s="8"/>
      <c r="KN2" s="8"/>
      <c r="KO2" s="8"/>
      <c r="KP2" s="8"/>
      <c r="KQ2" s="8"/>
      <c r="KR2" s="8"/>
      <c r="KS2" s="8"/>
      <c r="KT2" s="8"/>
      <c r="KU2" s="8"/>
      <c r="KV2" s="8"/>
      <c r="KW2" s="8"/>
      <c r="KX2" s="8"/>
      <c r="KY2" s="8"/>
      <c r="KZ2" s="8"/>
      <c r="LA2" s="8"/>
      <c r="LB2" s="8"/>
      <c r="LC2" s="8"/>
      <c r="LD2" s="8"/>
      <c r="LE2" s="8"/>
      <c r="LF2" s="8"/>
      <c r="LG2" s="8"/>
      <c r="LH2" s="8"/>
      <c r="LI2" s="8"/>
      <c r="LJ2" s="8"/>
      <c r="LK2" s="8"/>
      <c r="LL2" s="8"/>
      <c r="LM2" s="8"/>
      <c r="LN2" s="8"/>
      <c r="LO2" s="8"/>
      <c r="LP2" s="8"/>
      <c r="LQ2" s="8"/>
      <c r="LR2" s="8"/>
      <c r="LS2" s="8"/>
      <c r="LT2" s="8"/>
      <c r="LU2" s="8"/>
      <c r="LV2" s="8"/>
      <c r="LW2" s="8"/>
      <c r="LX2" s="8"/>
      <c r="LY2" s="8"/>
      <c r="LZ2" s="8"/>
      <c r="MA2" s="8"/>
      <c r="MB2" s="8"/>
      <c r="MC2" s="8"/>
      <c r="MD2" s="8"/>
      <c r="ME2" s="8"/>
      <c r="MF2" s="8"/>
      <c r="MG2" s="8"/>
      <c r="MH2" s="8"/>
      <c r="MI2" s="8"/>
      <c r="MJ2" s="8"/>
      <c r="MK2" s="8"/>
      <c r="ML2" s="8"/>
      <c r="MM2" s="8"/>
      <c r="MN2" s="8"/>
      <c r="MO2" s="8"/>
      <c r="MP2" s="8"/>
      <c r="MQ2" s="8"/>
      <c r="MR2" s="8"/>
      <c r="MS2" s="8"/>
      <c r="MT2" s="8"/>
      <c r="MU2" s="8"/>
      <c r="MV2" s="8"/>
      <c r="MW2" s="8"/>
      <c r="MX2" s="8"/>
      <c r="MY2" s="8"/>
      <c r="MZ2" s="8"/>
      <c r="NA2" s="8"/>
      <c r="NB2" s="8"/>
      <c r="NC2" s="8"/>
      <c r="ND2" s="8"/>
      <c r="NE2" s="8"/>
      <c r="NF2" s="8"/>
      <c r="NG2" s="8"/>
      <c r="NH2" s="8"/>
      <c r="NI2" s="8"/>
      <c r="NJ2" s="8"/>
      <c r="NK2" s="8"/>
      <c r="NL2" s="8"/>
      <c r="NM2" s="8"/>
      <c r="NN2" s="8"/>
      <c r="NO2" s="8"/>
      <c r="NP2" s="8"/>
      <c r="NQ2" s="8"/>
      <c r="NR2" s="8"/>
      <c r="NS2" s="8"/>
      <c r="NT2" s="8"/>
      <c r="NU2" s="8"/>
      <c r="NV2" s="8"/>
      <c r="NW2" s="8"/>
      <c r="NX2" s="8"/>
      <c r="NY2" s="8"/>
      <c r="NZ2" s="8"/>
      <c r="OA2" s="8"/>
      <c r="OB2" s="8"/>
      <c r="OC2" s="8"/>
      <c r="OD2" s="8"/>
      <c r="OE2" s="8"/>
      <c r="OF2" s="8"/>
      <c r="OG2" s="8"/>
      <c r="OH2" s="8"/>
      <c r="OI2" s="8"/>
      <c r="OJ2" s="8"/>
      <c r="OK2" s="8"/>
      <c r="OL2" s="8"/>
      <c r="OM2" s="8"/>
      <c r="ON2" s="8"/>
      <c r="OO2" s="8"/>
      <c r="OP2" s="8"/>
      <c r="OQ2" s="8"/>
      <c r="OR2" s="8"/>
      <c r="OS2" s="8"/>
      <c r="OT2" s="8"/>
      <c r="OU2" s="8"/>
      <c r="OV2" s="8"/>
      <c r="OW2" s="8"/>
      <c r="OX2" s="8"/>
      <c r="OY2" s="8"/>
      <c r="OZ2" s="8"/>
      <c r="PA2" s="8"/>
      <c r="PB2" s="8"/>
      <c r="PC2" s="8"/>
      <c r="PD2" s="8"/>
      <c r="PE2" s="8"/>
      <c r="PF2" s="8"/>
      <c r="PG2" s="8"/>
      <c r="PH2" s="8"/>
      <c r="PI2" s="8"/>
      <c r="PJ2" s="8"/>
      <c r="PK2" s="8"/>
      <c r="PL2" s="8"/>
      <c r="PM2" s="8"/>
      <c r="PN2" s="8"/>
      <c r="PO2" s="8"/>
      <c r="PP2" s="8"/>
      <c r="PQ2" s="8"/>
      <c r="PR2" s="8"/>
      <c r="PS2" s="8"/>
      <c r="PT2" s="8"/>
      <c r="PU2" s="8"/>
      <c r="PV2" s="8"/>
      <c r="PW2" s="8"/>
      <c r="PX2" s="8"/>
      <c r="PY2" s="8"/>
      <c r="PZ2" s="8"/>
      <c r="QA2" s="8"/>
      <c r="QB2" s="8"/>
      <c r="QC2" s="8"/>
      <c r="QD2" s="8"/>
      <c r="QE2" s="8"/>
      <c r="QF2" s="8"/>
      <c r="QG2" s="8"/>
      <c r="QH2" s="8"/>
      <c r="QI2" s="8"/>
      <c r="QJ2" s="8"/>
      <c r="QK2" s="8"/>
      <c r="QL2" s="8"/>
      <c r="QM2" s="8"/>
      <c r="QN2" s="8"/>
      <c r="QO2" s="8"/>
      <c r="QP2" s="8"/>
      <c r="QQ2" s="8"/>
      <c r="QR2" s="8"/>
      <c r="QS2" s="8"/>
      <c r="QT2" s="8"/>
      <c r="QU2" s="8"/>
      <c r="QV2" s="8"/>
      <c r="QW2" s="8"/>
      <c r="QX2" s="8"/>
      <c r="QY2" s="8"/>
      <c r="QZ2" s="8"/>
      <c r="RA2" s="8"/>
      <c r="RB2" s="8"/>
      <c r="RC2" s="8"/>
      <c r="RD2" s="8"/>
      <c r="RE2" s="8"/>
      <c r="RF2" s="8"/>
      <c r="RG2" s="8"/>
      <c r="RH2" s="8"/>
      <c r="RI2" s="8"/>
      <c r="RJ2" s="8"/>
      <c r="RK2" s="8"/>
      <c r="RL2" s="8"/>
      <c r="RM2" s="8"/>
      <c r="RN2" s="8"/>
      <c r="RO2" s="8"/>
      <c r="RP2" s="8"/>
      <c r="RQ2" s="8"/>
      <c r="RR2" s="8"/>
      <c r="RS2" s="8"/>
      <c r="RT2" s="8"/>
      <c r="RU2" s="8"/>
      <c r="RV2" s="8"/>
      <c r="RW2" s="8"/>
      <c r="RX2" s="8"/>
      <c r="RY2" s="8"/>
      <c r="RZ2" s="8"/>
      <c r="SA2" s="8"/>
      <c r="SB2" s="8"/>
      <c r="SC2" s="8"/>
      <c r="SD2" s="8"/>
      <c r="SE2" s="8"/>
      <c r="SF2" s="8"/>
      <c r="SG2" s="8"/>
      <c r="SH2" s="8"/>
      <c r="SI2" s="8"/>
      <c r="SJ2" s="8"/>
      <c r="SK2" s="8"/>
      <c r="SL2" s="8"/>
      <c r="SM2" s="8"/>
      <c r="SN2" s="8"/>
      <c r="SO2" s="8"/>
      <c r="SP2" s="8"/>
      <c r="SQ2" s="8"/>
      <c r="SR2" s="8"/>
      <c r="SS2" s="8"/>
      <c r="ST2" s="8"/>
      <c r="SU2" s="8"/>
      <c r="SV2" s="8"/>
      <c r="SW2" s="8"/>
      <c r="SX2" s="8"/>
      <c r="SY2" s="8"/>
      <c r="SZ2" s="8"/>
      <c r="TA2" s="8"/>
      <c r="TB2" s="8"/>
      <c r="TC2" s="8"/>
      <c r="TD2" s="8"/>
      <c r="TE2" s="8"/>
      <c r="TF2" s="8"/>
      <c r="TG2" s="8"/>
      <c r="TH2" s="8"/>
      <c r="TI2" s="8"/>
      <c r="TJ2" s="8"/>
      <c r="TK2" s="8"/>
      <c r="TL2" s="8"/>
      <c r="TM2" s="8"/>
      <c r="TN2" s="8"/>
      <c r="TO2" s="8"/>
      <c r="TP2" s="8"/>
      <c r="TQ2" s="8"/>
      <c r="TR2" s="8"/>
      <c r="TS2" s="8"/>
      <c r="TT2" s="8"/>
      <c r="TU2" s="8"/>
      <c r="TV2" s="8"/>
      <c r="TW2" s="8"/>
      <c r="TX2" s="8"/>
      <c r="TY2" s="8"/>
      <c r="TZ2" s="8"/>
      <c r="UA2" s="8"/>
      <c r="UB2" s="8"/>
      <c r="UC2" s="8"/>
      <c r="UD2" s="8"/>
      <c r="UE2" s="8"/>
      <c r="UF2" s="8"/>
      <c r="UG2" s="8"/>
      <c r="UH2" s="8"/>
      <c r="UI2" s="8"/>
      <c r="UJ2" s="8"/>
      <c r="UK2" s="8"/>
      <c r="UL2" s="8"/>
      <c r="UM2" s="8"/>
      <c r="UN2" s="8"/>
      <c r="UO2" s="8"/>
      <c r="UP2" s="8"/>
      <c r="UQ2" s="8"/>
      <c r="UR2" s="8"/>
      <c r="US2" s="8"/>
      <c r="UT2" s="8"/>
      <c r="UU2" s="8"/>
      <c r="UV2" s="8"/>
      <c r="UW2" s="8"/>
      <c r="UX2" s="8"/>
      <c r="UY2" s="8"/>
      <c r="UZ2" s="8"/>
      <c r="VA2" s="8"/>
      <c r="VB2" s="8"/>
      <c r="VC2" s="8"/>
      <c r="VD2" s="8"/>
      <c r="VE2" s="8"/>
      <c r="VF2" s="8"/>
      <c r="VG2" s="8"/>
      <c r="VH2" s="8"/>
      <c r="VI2" s="8"/>
      <c r="VJ2" s="8"/>
      <c r="VK2" s="8"/>
      <c r="VL2" s="8"/>
      <c r="VM2" s="8"/>
      <c r="VN2" s="8"/>
      <c r="VO2" s="8"/>
      <c r="VP2" s="8"/>
      <c r="VQ2" s="8"/>
      <c r="VR2" s="8"/>
      <c r="VS2" s="8"/>
      <c r="VT2" s="8"/>
      <c r="VU2" s="8"/>
      <c r="VV2" s="8"/>
      <c r="VW2" s="8"/>
      <c r="VX2" s="8"/>
      <c r="VY2" s="8"/>
      <c r="VZ2" s="8"/>
      <c r="WA2" s="8"/>
      <c r="WB2" s="8"/>
      <c r="WC2" s="8"/>
      <c r="WD2" s="8"/>
      <c r="WE2" s="8"/>
      <c r="WF2" s="8"/>
      <c r="WG2" s="8"/>
      <c r="WH2" s="8"/>
      <c r="WI2" s="8"/>
      <c r="WJ2" s="8"/>
      <c r="WK2" s="8"/>
      <c r="WL2" s="8"/>
      <c r="WM2" s="8"/>
      <c r="WN2" s="8"/>
      <c r="WO2" s="8"/>
      <c r="WP2" s="8"/>
      <c r="WQ2" s="8"/>
      <c r="WR2" s="8"/>
      <c r="WS2" s="8"/>
      <c r="WT2" s="8"/>
      <c r="WU2" s="8"/>
      <c r="WV2" s="8"/>
      <c r="WW2" s="8"/>
      <c r="WX2" s="8"/>
      <c r="WY2" s="8"/>
      <c r="WZ2" s="8"/>
      <c r="XA2" s="8"/>
      <c r="XB2" s="8"/>
      <c r="XC2" s="8"/>
      <c r="XD2" s="8"/>
      <c r="XE2" s="8"/>
      <c r="XF2" s="8"/>
      <c r="XG2" s="8"/>
      <c r="XH2" s="8"/>
      <c r="XI2" s="8"/>
      <c r="XJ2" s="8"/>
      <c r="XK2" s="8"/>
      <c r="XL2" s="8"/>
      <c r="XM2" s="8"/>
      <c r="XN2" s="8"/>
      <c r="XO2" s="8"/>
      <c r="XP2" s="8"/>
      <c r="XQ2" s="8"/>
      <c r="XR2" s="8"/>
      <c r="XS2" s="8"/>
      <c r="XT2" s="8"/>
      <c r="XU2" s="8"/>
      <c r="XV2" s="8"/>
      <c r="XW2" s="8"/>
      <c r="XX2" s="8"/>
      <c r="XY2" s="8"/>
      <c r="XZ2" s="8"/>
      <c r="YA2" s="8"/>
      <c r="YB2" s="8"/>
      <c r="YC2" s="8"/>
      <c r="YD2" s="8"/>
      <c r="YE2" s="8"/>
      <c r="YF2" s="8"/>
      <c r="YG2" s="8"/>
      <c r="YH2" s="8"/>
      <c r="YI2" s="8"/>
      <c r="YJ2" s="8"/>
      <c r="YK2" s="8"/>
      <c r="YL2" s="8"/>
      <c r="YM2" s="8"/>
      <c r="YN2" s="8"/>
      <c r="YO2" s="8"/>
      <c r="YP2" s="8"/>
      <c r="YQ2" s="8"/>
      <c r="YR2" s="8"/>
      <c r="YS2" s="8"/>
      <c r="YT2" s="8"/>
      <c r="YU2" s="8"/>
      <c r="YV2" s="8"/>
      <c r="YW2" s="8"/>
      <c r="YX2" s="8"/>
      <c r="YY2" s="8"/>
      <c r="YZ2" s="8"/>
      <c r="ZA2" s="8"/>
      <c r="ZB2" s="8"/>
      <c r="ZC2" s="8"/>
      <c r="ZD2" s="8"/>
      <c r="ZE2" s="8"/>
      <c r="ZF2" s="8"/>
      <c r="ZG2" s="8"/>
      <c r="ZH2" s="8"/>
      <c r="ZI2" s="8"/>
      <c r="ZJ2" s="8"/>
      <c r="ZK2" s="8"/>
      <c r="ZL2" s="8"/>
      <c r="ZM2" s="8"/>
      <c r="ZN2" s="8"/>
      <c r="ZO2" s="8"/>
      <c r="ZP2" s="8"/>
      <c r="ZQ2" s="8"/>
      <c r="ZR2" s="8"/>
      <c r="ZS2" s="8"/>
      <c r="ZT2" s="8"/>
      <c r="ZU2" s="8"/>
      <c r="ZV2" s="8"/>
      <c r="ZW2" s="8"/>
      <c r="ZX2" s="8"/>
      <c r="ZY2" s="8"/>
      <c r="ZZ2" s="8"/>
      <c r="AAA2" s="8"/>
      <c r="AAB2" s="8"/>
      <c r="AAC2" s="8"/>
      <c r="AAD2" s="8"/>
      <c r="AAE2" s="8"/>
      <c r="AAF2" s="8"/>
      <c r="AAG2" s="8"/>
      <c r="AAH2" s="8"/>
      <c r="AAI2" s="8"/>
      <c r="AAJ2" s="8"/>
      <c r="AAK2" s="8"/>
      <c r="AAL2" s="8"/>
      <c r="AAM2" s="8"/>
      <c r="AAN2" s="8"/>
      <c r="AAO2" s="8"/>
      <c r="AAP2" s="8"/>
      <c r="AAQ2" s="8"/>
      <c r="AAR2" s="8"/>
      <c r="AAS2" s="8"/>
      <c r="AAT2" s="8"/>
      <c r="AAU2" s="8"/>
      <c r="AAV2" s="8"/>
      <c r="AAW2" s="8"/>
      <c r="AAX2" s="8"/>
      <c r="AAY2" s="8"/>
      <c r="AAZ2" s="8"/>
      <c r="ABA2" s="8"/>
      <c r="ABB2" s="8"/>
      <c r="ABC2" s="8"/>
      <c r="ABD2" s="8"/>
      <c r="ABE2" s="8"/>
      <c r="ABF2" s="8"/>
      <c r="ABG2" s="8"/>
      <c r="ABH2" s="8"/>
      <c r="ABI2" s="8"/>
      <c r="ABJ2" s="8"/>
      <c r="ABK2" s="8"/>
      <c r="ABL2" s="8"/>
      <c r="ABM2" s="8"/>
      <c r="ABN2" s="8"/>
      <c r="ABO2" s="8"/>
      <c r="ABP2" s="8"/>
      <c r="ABQ2" s="8"/>
      <c r="ABR2" s="8"/>
      <c r="ABS2" s="8"/>
      <c r="ABT2" s="8"/>
      <c r="ABU2" s="8"/>
      <c r="ABV2" s="8"/>
      <c r="ABW2" s="8"/>
      <c r="ABX2" s="8"/>
      <c r="ABY2" s="8"/>
      <c r="ABZ2" s="8"/>
      <c r="ACA2" s="8"/>
      <c r="ACB2" s="8"/>
      <c r="ACC2" s="8"/>
      <c r="ACD2" s="8"/>
      <c r="ACE2" s="8"/>
      <c r="ACF2" s="8"/>
      <c r="ACG2" s="8"/>
      <c r="ACH2" s="8"/>
      <c r="ACI2" s="8"/>
      <c r="ACJ2" s="8"/>
      <c r="ACK2" s="8"/>
      <c r="ACL2" s="8"/>
      <c r="ACM2" s="8"/>
      <c r="ACN2" s="8"/>
      <c r="ACO2" s="8"/>
      <c r="ACP2" s="8"/>
      <c r="ACQ2" s="8"/>
      <c r="ACR2" s="8"/>
      <c r="ACS2" s="8"/>
      <c r="ACT2" s="8"/>
      <c r="ACU2" s="8"/>
      <c r="ACV2" s="8"/>
      <c r="ACW2" s="8"/>
      <c r="ACX2" s="8"/>
      <c r="ACY2" s="8"/>
      <c r="ACZ2" s="8"/>
      <c r="ADA2" s="8"/>
      <c r="ADB2" s="8"/>
      <c r="ADC2" s="8"/>
      <c r="ADD2" s="8"/>
      <c r="ADE2" s="8"/>
      <c r="ADF2" s="8"/>
      <c r="ADG2" s="8"/>
      <c r="ADH2" s="8"/>
      <c r="ADI2" s="8"/>
      <c r="ADJ2" s="8"/>
      <c r="ADK2" s="8"/>
      <c r="ADL2" s="8"/>
      <c r="ADM2" s="8"/>
      <c r="ADN2" s="8"/>
      <c r="ADO2" s="8"/>
      <c r="ADP2" s="8"/>
      <c r="ADQ2" s="8"/>
      <c r="ADR2" s="8"/>
      <c r="ADS2" s="8"/>
      <c r="ADT2" s="8"/>
      <c r="ADU2" s="8"/>
      <c r="ADV2" s="8"/>
      <c r="ADW2" s="8"/>
      <c r="ADX2" s="8"/>
      <c r="ADY2" s="8"/>
      <c r="ADZ2" s="8"/>
      <c r="AEA2" s="8"/>
      <c r="AEB2" s="8"/>
      <c r="AEC2" s="8"/>
      <c r="AED2" s="8"/>
      <c r="AEE2" s="8"/>
      <c r="AEF2" s="8"/>
      <c r="AEG2" s="8"/>
      <c r="AEH2" s="8"/>
      <c r="AEI2" s="8"/>
      <c r="AEJ2" s="8"/>
      <c r="AEK2" s="8"/>
      <c r="AEL2" s="8"/>
      <c r="AEM2" s="8"/>
      <c r="AEN2" s="8"/>
      <c r="AEO2" s="8"/>
      <c r="AEP2" s="8"/>
      <c r="AEQ2" s="8"/>
      <c r="AER2" s="8"/>
      <c r="AES2" s="8"/>
      <c r="AET2" s="8"/>
      <c r="AEU2" s="8"/>
      <c r="AEV2" s="8"/>
      <c r="AEW2" s="8"/>
      <c r="AEX2" s="8"/>
      <c r="AEY2" s="8"/>
      <c r="AEZ2" s="8"/>
      <c r="AFA2" s="8"/>
      <c r="AFB2" s="8"/>
      <c r="AFC2" s="8"/>
      <c r="AFD2" s="8"/>
      <c r="AFE2" s="8"/>
      <c r="AFF2" s="8"/>
      <c r="AFG2" s="8"/>
      <c r="AFH2" s="8"/>
      <c r="AFI2" s="8"/>
      <c r="AFJ2" s="8"/>
      <c r="AFK2" s="8"/>
      <c r="AFL2" s="8"/>
      <c r="AFM2" s="8"/>
      <c r="AFN2" s="8"/>
      <c r="AFO2" s="8"/>
      <c r="AFP2" s="8"/>
      <c r="AFQ2" s="8"/>
      <c r="AFR2" s="8"/>
      <c r="AFS2" s="8"/>
      <c r="AFT2" s="8"/>
      <c r="AFU2" s="8"/>
      <c r="AFV2" s="8"/>
      <c r="AFW2" s="8"/>
      <c r="AFX2" s="8"/>
      <c r="AFY2" s="8"/>
      <c r="AFZ2" s="8"/>
      <c r="AGA2" s="8"/>
      <c r="AGB2" s="8"/>
      <c r="AGC2" s="8"/>
      <c r="AGD2" s="8"/>
      <c r="AGE2" s="8"/>
      <c r="AGF2" s="8"/>
      <c r="AGG2" s="8"/>
      <c r="AGH2" s="8"/>
      <c r="AGI2" s="8"/>
      <c r="AGJ2" s="8"/>
      <c r="AGK2" s="8"/>
      <c r="AGL2" s="8"/>
      <c r="AGM2" s="8"/>
      <c r="AGN2" s="8"/>
      <c r="AGO2" s="8"/>
      <c r="AGP2" s="8"/>
      <c r="AGQ2" s="8"/>
      <c r="AGR2" s="8"/>
      <c r="AGS2" s="8"/>
      <c r="AGT2" s="8"/>
      <c r="AGU2" s="8"/>
      <c r="AGV2" s="8"/>
      <c r="AGW2" s="8"/>
      <c r="AGX2" s="8"/>
      <c r="AGY2" s="8"/>
      <c r="AGZ2" s="8"/>
      <c r="AHA2" s="8"/>
      <c r="AHB2" s="8"/>
      <c r="AHC2" s="8"/>
      <c r="AHD2" s="8"/>
      <c r="AHE2" s="8"/>
      <c r="AHF2" s="8"/>
      <c r="AHG2" s="8"/>
      <c r="AHH2" s="8"/>
      <c r="AHI2" s="8"/>
      <c r="AHJ2" s="8"/>
      <c r="AHK2" s="8"/>
      <c r="AHL2" s="8"/>
      <c r="AHM2" s="8"/>
      <c r="AHN2" s="8"/>
      <c r="AHO2" s="8"/>
      <c r="AHP2" s="8"/>
      <c r="AHQ2" s="8"/>
      <c r="AHR2" s="8"/>
      <c r="AHS2" s="8"/>
      <c r="AHT2" s="8"/>
      <c r="AHU2" s="8"/>
      <c r="AHV2" s="8"/>
      <c r="AHW2" s="8"/>
      <c r="AHX2" s="8"/>
      <c r="AHY2" s="8"/>
      <c r="AHZ2" s="8"/>
      <c r="AIA2" s="8"/>
      <c r="AIB2" s="8"/>
      <c r="AIC2" s="8"/>
      <c r="AID2" s="8"/>
      <c r="AIE2" s="8"/>
      <c r="AIF2" s="8"/>
      <c r="AIG2" s="8"/>
      <c r="AIH2" s="8"/>
      <c r="AII2" s="8"/>
      <c r="AIJ2" s="8"/>
      <c r="AIK2" s="8"/>
      <c r="AIL2" s="8"/>
      <c r="AIM2" s="8"/>
      <c r="AIN2" s="8"/>
      <c r="AIO2" s="8"/>
      <c r="AIP2" s="8"/>
      <c r="AIQ2" s="8"/>
      <c r="AIR2" s="8"/>
      <c r="AIS2" s="8"/>
      <c r="AIT2" s="8"/>
      <c r="AIU2" s="8"/>
      <c r="AIV2" s="8"/>
      <c r="AIW2" s="8"/>
      <c r="AIX2" s="8"/>
      <c r="AIY2" s="8"/>
      <c r="AIZ2" s="8"/>
      <c r="AJA2" s="8"/>
      <c r="AJB2" s="8"/>
      <c r="AJC2" s="8"/>
      <c r="AJD2" s="8"/>
      <c r="AJE2" s="8"/>
      <c r="AJF2" s="8"/>
      <c r="AJG2" s="8"/>
      <c r="AJH2" s="8"/>
      <c r="AJI2" s="8"/>
      <c r="AJJ2" s="8"/>
      <c r="AJK2" s="8"/>
      <c r="AJL2" s="8"/>
      <c r="AJM2" s="8"/>
      <c r="AJN2" s="8"/>
      <c r="AJO2" s="8"/>
      <c r="AJP2" s="8"/>
      <c r="AJQ2" s="8"/>
      <c r="AJR2" s="8"/>
      <c r="AJS2" s="8"/>
      <c r="AJT2" s="8"/>
      <c r="AJU2" s="8"/>
      <c r="AJV2" s="8"/>
      <c r="AJW2" s="8"/>
      <c r="AJX2" s="8"/>
      <c r="AJY2" s="8"/>
      <c r="AJZ2" s="8"/>
      <c r="AKA2" s="8"/>
      <c r="AKB2" s="8"/>
      <c r="AKC2" s="8"/>
      <c r="AKD2" s="8"/>
      <c r="AKE2" s="8"/>
      <c r="AKF2" s="8"/>
      <c r="AKG2" s="8"/>
      <c r="AKH2" s="8"/>
      <c r="AKI2" s="8"/>
      <c r="AKJ2" s="8"/>
      <c r="AKK2" s="8"/>
      <c r="AKL2" s="8"/>
      <c r="AKM2" s="8"/>
      <c r="AKN2" s="8"/>
      <c r="AKO2" s="8"/>
      <c r="AKP2" s="8"/>
      <c r="AKQ2" s="8"/>
      <c r="AKR2" s="8"/>
      <c r="AKS2" s="8"/>
      <c r="AKT2" s="8"/>
      <c r="AKU2" s="8"/>
      <c r="AKV2" s="8"/>
      <c r="AKW2" s="8"/>
      <c r="AKX2" s="8"/>
      <c r="AKY2" s="8"/>
      <c r="AKZ2" s="8"/>
      <c r="ALA2" s="8"/>
      <c r="ALB2" s="8"/>
      <c r="ALC2" s="8"/>
      <c r="ALD2" s="8"/>
      <c r="ALE2" s="8"/>
      <c r="ALF2" s="8"/>
      <c r="ALG2" s="8"/>
      <c r="ALH2" s="8"/>
      <c r="ALI2" s="8"/>
      <c r="ALJ2" s="8"/>
      <c r="ALK2" s="8"/>
      <c r="ALL2" s="8"/>
      <c r="ALM2" s="8"/>
      <c r="ALN2" s="8"/>
      <c r="ALO2" s="8"/>
      <c r="ALP2" s="8"/>
      <c r="ALQ2" s="8"/>
      <c r="ALR2" s="8"/>
      <c r="ALS2" s="8"/>
      <c r="ALT2" s="8"/>
      <c r="ALU2" s="8"/>
      <c r="ALV2" s="8"/>
      <c r="ALW2" s="8"/>
      <c r="ALX2" s="8"/>
      <c r="ALY2" s="8"/>
      <c r="ALZ2" s="8"/>
      <c r="AMA2" s="8"/>
      <c r="AMB2" s="8"/>
      <c r="AMC2" s="8"/>
      <c r="AMD2" s="8"/>
      <c r="AME2" s="8"/>
      <c r="AMF2" s="8"/>
      <c r="AMG2" s="8"/>
      <c r="AMH2" s="8"/>
      <c r="AMI2" s="8"/>
      <c r="AMJ2" s="8"/>
      <c r="AMK2" s="8"/>
      <c r="AML2" s="8"/>
      <c r="AMM2" s="8"/>
    </row>
    <row r="3" spans="1:1027" ht="39" customHeight="1">
      <c r="A3" s="11">
        <v>45979</v>
      </c>
      <c r="B3" s="15">
        <v>13</v>
      </c>
      <c r="C3" s="20"/>
      <c r="D3" s="20"/>
      <c r="E3" s="20"/>
      <c r="F3" s="20"/>
      <c r="G3" s="20"/>
      <c r="H3" s="20">
        <v>117</v>
      </c>
      <c r="I3" s="20"/>
      <c r="J3" s="12" t="s">
        <v>15</v>
      </c>
    </row>
    <row r="4" spans="1:1027" ht="39" customHeight="1">
      <c r="A4" s="11">
        <v>45980</v>
      </c>
      <c r="B4" s="15">
        <v>13.1</v>
      </c>
      <c r="C4" s="20">
        <v>96</v>
      </c>
      <c r="D4" s="20">
        <v>110</v>
      </c>
      <c r="E4" s="20"/>
      <c r="F4" s="20">
        <v>105</v>
      </c>
      <c r="G4" s="20"/>
      <c r="H4" s="20">
        <v>110</v>
      </c>
      <c r="I4" s="20"/>
    </row>
    <row r="5" spans="1:1027" ht="39" customHeight="1">
      <c r="A5" s="11">
        <v>45981</v>
      </c>
      <c r="B5" s="15">
        <v>13.2</v>
      </c>
      <c r="C5" s="20">
        <v>102</v>
      </c>
      <c r="D5" s="20">
        <v>167</v>
      </c>
      <c r="E5" s="20"/>
      <c r="F5" s="20">
        <v>110</v>
      </c>
      <c r="G5" s="20"/>
      <c r="H5" s="20">
        <v>114</v>
      </c>
      <c r="I5" s="20"/>
    </row>
    <row r="6" spans="1:1027" ht="39" customHeight="1">
      <c r="A6" s="11">
        <v>45982</v>
      </c>
      <c r="B6" s="15">
        <v>13.3</v>
      </c>
      <c r="C6" s="20">
        <v>100</v>
      </c>
      <c r="D6" s="20">
        <v>141</v>
      </c>
      <c r="E6" s="20"/>
      <c r="F6" s="20">
        <v>167</v>
      </c>
      <c r="G6" s="20"/>
      <c r="H6" s="20">
        <v>118</v>
      </c>
      <c r="I6" s="20"/>
    </row>
    <row r="7" spans="1:1027" ht="39" customHeight="1">
      <c r="A7" s="11">
        <v>45983</v>
      </c>
      <c r="B7" s="15">
        <v>13.4</v>
      </c>
      <c r="C7" s="20">
        <v>100</v>
      </c>
      <c r="D7" s="20">
        <v>179</v>
      </c>
      <c r="E7" s="20"/>
      <c r="F7" s="20">
        <v>140</v>
      </c>
      <c r="G7" s="20"/>
      <c r="H7" s="20">
        <v>132</v>
      </c>
      <c r="I7" s="20"/>
    </row>
    <row r="8" spans="1:1027" ht="39" customHeight="1">
      <c r="A8" s="11">
        <v>45984</v>
      </c>
      <c r="B8" s="15">
        <v>13.5</v>
      </c>
      <c r="C8" s="20">
        <v>112</v>
      </c>
      <c r="D8" s="20">
        <v>111</v>
      </c>
      <c r="E8" s="20"/>
      <c r="F8" s="20">
        <v>147</v>
      </c>
      <c r="G8" s="20"/>
      <c r="H8" s="20">
        <v>162</v>
      </c>
      <c r="I8" s="20"/>
    </row>
    <row r="9" spans="1:1027" ht="39" customHeight="1">
      <c r="A9" s="11">
        <v>45985</v>
      </c>
      <c r="B9" s="15">
        <v>13.6</v>
      </c>
      <c r="C9" s="20">
        <v>102</v>
      </c>
      <c r="D9" s="20">
        <v>105</v>
      </c>
      <c r="E9" s="20"/>
      <c r="F9" s="20">
        <v>153</v>
      </c>
      <c r="G9" s="20"/>
      <c r="H9" s="20">
        <v>148</v>
      </c>
      <c r="I9" s="20"/>
    </row>
    <row r="10" spans="1:1027" ht="39" customHeight="1">
      <c r="A10" s="11">
        <v>45986</v>
      </c>
      <c r="B10" s="15">
        <v>14</v>
      </c>
      <c r="C10" s="20">
        <v>95</v>
      </c>
      <c r="D10" s="20">
        <v>119</v>
      </c>
      <c r="E10" s="20"/>
      <c r="F10" s="20">
        <v>106</v>
      </c>
      <c r="G10" s="20"/>
      <c r="H10" s="20">
        <v>134</v>
      </c>
      <c r="I10" s="20"/>
    </row>
    <row r="11" spans="1:1027" ht="39" customHeight="1">
      <c r="A11" s="11">
        <v>45987</v>
      </c>
      <c r="B11" s="15">
        <v>14.1</v>
      </c>
      <c r="C11" s="20">
        <v>107</v>
      </c>
      <c r="D11" s="20">
        <v>134</v>
      </c>
      <c r="E11" s="20"/>
      <c r="F11" s="20">
        <v>123</v>
      </c>
      <c r="G11" s="20"/>
      <c r="H11" s="20">
        <v>119</v>
      </c>
      <c r="I11" s="20"/>
      <c r="J11" s="17" t="s">
        <v>16</v>
      </c>
    </row>
    <row r="12" spans="1:1027" ht="39" customHeight="1">
      <c r="A12" s="11">
        <v>45988</v>
      </c>
      <c r="B12" s="15">
        <v>14.2</v>
      </c>
      <c r="C12" s="20">
        <v>103</v>
      </c>
      <c r="D12" s="20">
        <v>164</v>
      </c>
      <c r="E12" s="20"/>
      <c r="F12" s="20">
        <v>116</v>
      </c>
      <c r="G12" s="20"/>
      <c r="H12" s="20">
        <v>128</v>
      </c>
      <c r="I12" s="20"/>
    </row>
    <row r="13" spans="1:1027" ht="39" customHeight="1">
      <c r="A13" s="11">
        <v>45989</v>
      </c>
      <c r="B13" s="15">
        <v>14.3</v>
      </c>
      <c r="C13" s="20">
        <v>110</v>
      </c>
      <c r="D13" s="20">
        <v>111</v>
      </c>
      <c r="E13" s="20"/>
      <c r="F13" s="20">
        <v>125</v>
      </c>
      <c r="G13" s="20"/>
      <c r="H13" s="20">
        <v>131</v>
      </c>
      <c r="I13" s="20"/>
    </row>
    <row r="14" spans="1:1027" ht="39" customHeight="1">
      <c r="A14" s="11">
        <v>45990</v>
      </c>
      <c r="B14" s="15">
        <v>14.4</v>
      </c>
      <c r="C14" s="20">
        <v>104</v>
      </c>
      <c r="D14" s="20">
        <v>150</v>
      </c>
      <c r="E14" s="20"/>
      <c r="F14" s="20">
        <v>100</v>
      </c>
      <c r="G14" s="20"/>
      <c r="H14" s="20">
        <v>156</v>
      </c>
      <c r="I14" s="20"/>
    </row>
    <row r="15" spans="1:1027" ht="39" customHeight="1">
      <c r="A15" s="11">
        <v>45991</v>
      </c>
      <c r="B15" s="15">
        <v>14.5</v>
      </c>
      <c r="C15" s="20">
        <v>97</v>
      </c>
      <c r="D15" s="20">
        <v>151</v>
      </c>
      <c r="E15" s="20"/>
      <c r="F15" s="20">
        <v>114</v>
      </c>
      <c r="G15" s="20"/>
      <c r="H15" s="20">
        <v>130</v>
      </c>
      <c r="I15" s="20"/>
    </row>
    <row r="16" spans="1:1027" ht="39" customHeight="1">
      <c r="A16" s="11">
        <v>45992</v>
      </c>
      <c r="B16" s="15">
        <v>14.6</v>
      </c>
      <c r="C16" s="20">
        <v>106</v>
      </c>
      <c r="D16" s="20">
        <v>116</v>
      </c>
      <c r="E16" s="20"/>
      <c r="F16" s="20">
        <v>110</v>
      </c>
      <c r="G16" s="20"/>
      <c r="H16" s="20">
        <v>118</v>
      </c>
      <c r="I16" s="20"/>
      <c r="J16" s="18" t="s">
        <v>17</v>
      </c>
    </row>
    <row r="17" spans="1:12" ht="39" customHeight="1">
      <c r="A17" s="11">
        <v>45993</v>
      </c>
      <c r="B17" s="15">
        <v>15</v>
      </c>
      <c r="C17" s="20">
        <v>102</v>
      </c>
      <c r="D17" s="20">
        <v>107</v>
      </c>
      <c r="E17" s="20"/>
      <c r="F17" s="20">
        <v>115</v>
      </c>
      <c r="G17" s="20"/>
      <c r="H17" s="20">
        <v>124</v>
      </c>
      <c r="I17" s="20"/>
    </row>
    <row r="18" spans="1:12" ht="39" customHeight="1">
      <c r="A18" s="11">
        <v>45994</v>
      </c>
      <c r="B18" s="16">
        <v>15.1</v>
      </c>
      <c r="C18" s="20">
        <v>101</v>
      </c>
      <c r="D18" s="20">
        <v>122</v>
      </c>
      <c r="E18" s="20"/>
      <c r="F18" s="20">
        <v>106</v>
      </c>
      <c r="G18" s="20"/>
      <c r="H18" s="20">
        <v>105</v>
      </c>
      <c r="I18" s="20"/>
      <c r="J18" s="17" t="s">
        <v>18</v>
      </c>
    </row>
    <row r="19" spans="1:12" ht="39" customHeight="1">
      <c r="A19" s="11">
        <v>45995</v>
      </c>
      <c r="B19" s="15">
        <v>15.2</v>
      </c>
      <c r="C19" s="20">
        <v>108</v>
      </c>
      <c r="D19" s="20">
        <v>119</v>
      </c>
      <c r="E19" s="20"/>
      <c r="F19" s="20">
        <v>116</v>
      </c>
      <c r="G19" s="20"/>
      <c r="H19" s="20">
        <v>126</v>
      </c>
      <c r="I19" s="20"/>
    </row>
    <row r="20" spans="1:12" ht="39" customHeight="1">
      <c r="A20" s="11">
        <v>45996</v>
      </c>
      <c r="B20" s="15">
        <v>15.3</v>
      </c>
      <c r="C20" s="20">
        <v>101</v>
      </c>
      <c r="D20" s="20">
        <v>151</v>
      </c>
      <c r="E20" s="20"/>
      <c r="F20" s="20">
        <v>160</v>
      </c>
      <c r="G20" s="20"/>
      <c r="H20" s="20">
        <v>131</v>
      </c>
      <c r="I20" s="20"/>
    </row>
    <row r="21" spans="1:12" ht="39" customHeight="1">
      <c r="A21" s="11">
        <v>45997</v>
      </c>
      <c r="B21" s="15">
        <v>15.4</v>
      </c>
      <c r="C21" s="20">
        <v>111</v>
      </c>
      <c r="D21" s="20">
        <v>114</v>
      </c>
      <c r="E21" s="20"/>
      <c r="F21" s="20">
        <v>162</v>
      </c>
      <c r="G21" s="20"/>
      <c r="H21" s="20">
        <v>135</v>
      </c>
      <c r="I21" s="20"/>
    </row>
    <row r="22" spans="1:12" ht="39" customHeight="1">
      <c r="A22" s="11">
        <v>45998</v>
      </c>
      <c r="B22" s="15">
        <v>15.5</v>
      </c>
      <c r="C22" s="20">
        <v>110</v>
      </c>
      <c r="D22" s="20">
        <v>142</v>
      </c>
      <c r="E22" s="20"/>
      <c r="F22" s="20"/>
      <c r="G22" s="20"/>
      <c r="H22" s="20"/>
      <c r="I22" s="20"/>
    </row>
    <row r="23" spans="1:12" ht="39" customHeight="1">
      <c r="A23" s="11">
        <v>45999</v>
      </c>
      <c r="B23" s="15">
        <v>15.6</v>
      </c>
      <c r="C23" s="20">
        <v>121</v>
      </c>
      <c r="D23" s="20">
        <v>193</v>
      </c>
      <c r="E23" s="20"/>
      <c r="F23" s="20"/>
      <c r="G23" s="20"/>
      <c r="H23" s="20"/>
      <c r="I23" s="20"/>
      <c r="J23" s="1">
        <f>13/28</f>
        <v>0.4642857142857143</v>
      </c>
    </row>
    <row r="24" spans="1:12" ht="39" customHeight="1">
      <c r="A24" s="11">
        <v>46000</v>
      </c>
      <c r="B24" s="15">
        <v>16</v>
      </c>
      <c r="C24" s="20"/>
      <c r="D24" s="20"/>
      <c r="E24" s="20"/>
      <c r="F24" s="20"/>
      <c r="G24" s="20"/>
      <c r="H24" s="20"/>
      <c r="I24" s="20"/>
    </row>
    <row r="25" spans="1:12" ht="39" customHeight="1">
      <c r="A25" s="11">
        <v>46001</v>
      </c>
      <c r="B25" s="15">
        <v>16.100000000000001</v>
      </c>
      <c r="C25" s="20"/>
      <c r="D25" s="20"/>
      <c r="E25" s="20"/>
      <c r="F25" s="20"/>
      <c r="G25" s="20"/>
      <c r="H25" s="20"/>
      <c r="I25" s="20"/>
      <c r="J25" s="17" t="s">
        <v>19</v>
      </c>
    </row>
    <row r="26" spans="1:12" ht="39" customHeight="1">
      <c r="A26" s="11">
        <v>46002</v>
      </c>
      <c r="B26" s="15">
        <v>16.2</v>
      </c>
      <c r="C26" s="20"/>
      <c r="D26" s="20"/>
      <c r="E26" s="20"/>
      <c r="F26" s="20"/>
      <c r="G26" s="20"/>
      <c r="H26" s="20"/>
      <c r="I26" s="20"/>
      <c r="J26" s="26" t="s">
        <v>20</v>
      </c>
      <c r="K26" s="32" t="s">
        <v>21</v>
      </c>
      <c r="L26" s="32"/>
    </row>
    <row r="27" spans="1:12" ht="39" customHeight="1">
      <c r="A27" s="11">
        <v>46003</v>
      </c>
      <c r="B27" s="15">
        <v>16.3</v>
      </c>
      <c r="C27" s="20"/>
      <c r="D27" s="20"/>
      <c r="E27" s="20"/>
      <c r="F27" s="20"/>
      <c r="G27" s="20"/>
      <c r="H27" s="20"/>
      <c r="I27" s="20"/>
    </row>
    <row r="28" spans="1:12" ht="39" customHeight="1">
      <c r="A28" s="11">
        <v>46004</v>
      </c>
      <c r="B28" s="22">
        <v>16.399999999999999</v>
      </c>
      <c r="C28" s="20"/>
      <c r="D28" s="20"/>
      <c r="E28" s="20"/>
      <c r="F28" s="20"/>
      <c r="G28" s="20"/>
      <c r="H28" s="20"/>
      <c r="I28" s="20"/>
    </row>
    <row r="29" spans="1:12" ht="39" customHeight="1">
      <c r="A29" s="11">
        <v>46005</v>
      </c>
      <c r="B29" s="22">
        <v>16.5</v>
      </c>
      <c r="C29" s="20"/>
      <c r="D29" s="20"/>
      <c r="E29" s="29"/>
      <c r="F29" s="20"/>
      <c r="G29" s="20"/>
      <c r="H29" s="20"/>
      <c r="I29" s="20"/>
    </row>
    <row r="30" spans="1:12" ht="39" customHeight="1">
      <c r="A30" s="11">
        <v>46006</v>
      </c>
      <c r="B30" s="22">
        <v>16.600000000000001</v>
      </c>
      <c r="C30" s="20">
        <v>85</v>
      </c>
      <c r="D30" s="27">
        <v>104</v>
      </c>
      <c r="E30" s="21"/>
      <c r="F30" s="28">
        <v>115</v>
      </c>
      <c r="G30" s="20"/>
      <c r="H30" s="20">
        <v>141</v>
      </c>
      <c r="I30" s="20"/>
    </row>
    <row r="31" spans="1:12" ht="39" customHeight="1">
      <c r="A31" s="11">
        <v>46007</v>
      </c>
      <c r="B31" s="23">
        <v>17</v>
      </c>
      <c r="C31" s="20">
        <v>107</v>
      </c>
      <c r="D31" s="27">
        <v>171</v>
      </c>
      <c r="E31" s="21"/>
      <c r="F31" s="28">
        <v>160</v>
      </c>
      <c r="G31" s="20"/>
      <c r="H31" s="20">
        <v>201</v>
      </c>
      <c r="I31" s="20"/>
    </row>
    <row r="32" spans="1:12" ht="39" customHeight="1">
      <c r="A32" s="11">
        <v>46008</v>
      </c>
      <c r="B32" s="22">
        <v>17.100000000000001</v>
      </c>
      <c r="C32" s="20">
        <v>102</v>
      </c>
      <c r="D32" s="27">
        <v>158</v>
      </c>
      <c r="E32" s="21"/>
      <c r="F32" s="28">
        <v>180</v>
      </c>
      <c r="G32" s="20"/>
      <c r="H32" s="20">
        <v>108</v>
      </c>
      <c r="I32" s="20"/>
      <c r="J32" s="17" t="s">
        <v>22</v>
      </c>
    </row>
    <row r="33" spans="1:10" ht="39" customHeight="1">
      <c r="A33" s="11">
        <v>46009</v>
      </c>
      <c r="B33" s="22">
        <v>17.2</v>
      </c>
      <c r="C33" s="20">
        <v>85</v>
      </c>
      <c r="D33" s="27">
        <v>99</v>
      </c>
      <c r="E33" s="21"/>
      <c r="F33" s="28">
        <v>114</v>
      </c>
      <c r="G33" s="20"/>
      <c r="H33" s="20">
        <v>110</v>
      </c>
      <c r="I33" s="27"/>
      <c r="J33" s="17" t="s">
        <v>23</v>
      </c>
    </row>
    <row r="34" spans="1:10" ht="39" customHeight="1">
      <c r="A34" s="11">
        <v>46010</v>
      </c>
      <c r="B34" s="22">
        <v>17.3</v>
      </c>
      <c r="C34" s="20">
        <v>85</v>
      </c>
      <c r="D34" s="27">
        <v>107</v>
      </c>
      <c r="E34" s="21"/>
      <c r="F34" s="28">
        <v>135</v>
      </c>
      <c r="G34" s="20"/>
      <c r="H34" s="20">
        <v>121</v>
      </c>
      <c r="I34" s="20"/>
    </row>
    <row r="35" spans="1:10" ht="39" customHeight="1">
      <c r="A35" s="11">
        <v>46011</v>
      </c>
      <c r="B35" s="22">
        <v>17.399999999999999</v>
      </c>
      <c r="C35" s="20">
        <v>84</v>
      </c>
      <c r="D35" s="27">
        <v>152</v>
      </c>
      <c r="E35" s="21"/>
      <c r="F35" s="28">
        <v>130</v>
      </c>
      <c r="G35" s="20"/>
      <c r="H35" s="20">
        <v>103</v>
      </c>
      <c r="I35" s="20"/>
    </row>
    <row r="36" spans="1:10" ht="39" customHeight="1">
      <c r="A36" s="11">
        <v>46012</v>
      </c>
      <c r="B36" s="22">
        <v>17.5</v>
      </c>
      <c r="C36" s="20">
        <v>95</v>
      </c>
      <c r="D36" s="27">
        <v>153</v>
      </c>
      <c r="E36" s="21"/>
      <c r="F36" s="28">
        <v>110</v>
      </c>
      <c r="G36" s="20"/>
      <c r="H36" s="20">
        <v>106</v>
      </c>
      <c r="I36" s="20"/>
    </row>
    <row r="37" spans="1:10" ht="39" customHeight="1">
      <c r="A37" s="11">
        <v>46013</v>
      </c>
      <c r="B37" s="22">
        <v>17.600000000000001</v>
      </c>
      <c r="C37" s="20">
        <v>96</v>
      </c>
      <c r="D37" s="20">
        <v>146</v>
      </c>
      <c r="E37" s="30"/>
      <c r="F37" s="20">
        <v>106</v>
      </c>
      <c r="G37" s="20"/>
      <c r="H37" s="20">
        <v>123</v>
      </c>
      <c r="I37" s="20"/>
    </row>
    <row r="38" spans="1:10" ht="39" customHeight="1">
      <c r="A38" s="11">
        <v>46014</v>
      </c>
      <c r="B38" s="15">
        <v>18</v>
      </c>
      <c r="C38" s="20">
        <v>89</v>
      </c>
      <c r="D38" s="20">
        <v>137</v>
      </c>
      <c r="E38" s="20"/>
      <c r="F38" s="20">
        <v>148</v>
      </c>
      <c r="G38" s="20"/>
      <c r="H38" s="20">
        <v>119</v>
      </c>
      <c r="I38" s="20"/>
    </row>
    <row r="39" spans="1:10" ht="39" customHeight="1">
      <c r="A39" s="11">
        <v>46015</v>
      </c>
      <c r="B39" s="15">
        <v>18.100000000000001</v>
      </c>
      <c r="C39" s="20">
        <v>104</v>
      </c>
      <c r="D39" s="20">
        <v>118</v>
      </c>
      <c r="E39" s="20"/>
      <c r="F39" s="20">
        <v>105</v>
      </c>
      <c r="G39" s="20"/>
      <c r="H39" s="20">
        <v>93</v>
      </c>
      <c r="I39" s="27"/>
      <c r="J39" s="17" t="s">
        <v>24</v>
      </c>
    </row>
    <row r="40" spans="1:10" ht="39" customHeight="1">
      <c r="A40" s="11">
        <v>46016</v>
      </c>
      <c r="B40" s="15">
        <v>18.2</v>
      </c>
      <c r="C40" s="20">
        <v>87</v>
      </c>
      <c r="D40" s="20">
        <v>130</v>
      </c>
      <c r="E40" s="20"/>
      <c r="F40" s="20">
        <v>117</v>
      </c>
      <c r="G40" s="20"/>
      <c r="H40" s="20">
        <v>103</v>
      </c>
      <c r="I40" s="20"/>
    </row>
    <row r="41" spans="1:10" ht="39" customHeight="1">
      <c r="A41" s="11">
        <v>46017</v>
      </c>
      <c r="B41" s="15">
        <v>18.3</v>
      </c>
      <c r="C41" s="20">
        <v>80</v>
      </c>
      <c r="D41" s="20">
        <v>130</v>
      </c>
      <c r="E41" s="20"/>
      <c r="F41" s="20">
        <v>124</v>
      </c>
      <c r="G41" s="20"/>
      <c r="H41" s="20">
        <v>119</v>
      </c>
      <c r="I41" s="20"/>
    </row>
    <row r="42" spans="1:10" ht="39" customHeight="1">
      <c r="A42" s="11">
        <v>46018</v>
      </c>
      <c r="B42" s="15">
        <v>18.399999999999999</v>
      </c>
      <c r="C42" s="20">
        <v>89</v>
      </c>
      <c r="D42" s="20"/>
      <c r="E42" s="20"/>
      <c r="F42" s="20"/>
      <c r="G42" s="20"/>
      <c r="H42" s="20">
        <v>111</v>
      </c>
      <c r="I42" s="20"/>
    </row>
    <row r="43" spans="1:10" ht="39" customHeight="1">
      <c r="A43" s="11">
        <v>46019</v>
      </c>
      <c r="B43" s="15">
        <v>18.5</v>
      </c>
      <c r="C43" s="20">
        <v>90</v>
      </c>
      <c r="D43" s="20">
        <v>143</v>
      </c>
      <c r="E43" s="20"/>
      <c r="F43" s="20">
        <v>156</v>
      </c>
      <c r="G43" s="20"/>
      <c r="H43" s="20">
        <v>108</v>
      </c>
      <c r="I43" s="20"/>
    </row>
    <row r="44" spans="1:10" ht="39" customHeight="1">
      <c r="A44" s="11">
        <v>46020</v>
      </c>
      <c r="B44" s="15">
        <v>18.600000000000001</v>
      </c>
      <c r="C44" s="20">
        <v>92</v>
      </c>
      <c r="D44" s="20">
        <v>152</v>
      </c>
      <c r="E44" s="20"/>
      <c r="F44" s="20">
        <v>141</v>
      </c>
      <c r="G44" s="20"/>
      <c r="H44" s="20">
        <v>112</v>
      </c>
      <c r="I44" s="20"/>
    </row>
    <row r="45" spans="1:10" ht="39" customHeight="1">
      <c r="A45" s="11">
        <v>46021</v>
      </c>
      <c r="B45" s="15">
        <v>19</v>
      </c>
      <c r="C45" s="20">
        <v>100</v>
      </c>
      <c r="D45" s="20">
        <v>114</v>
      </c>
      <c r="E45" s="20"/>
      <c r="F45" s="20"/>
      <c r="G45" s="20"/>
      <c r="H45" s="20"/>
      <c r="I45" s="27"/>
      <c r="J45" s="17" t="s">
        <v>25</v>
      </c>
    </row>
    <row r="46" spans="1:10" ht="39" customHeight="1">
      <c r="A46" s="11">
        <v>46022</v>
      </c>
      <c r="B46" s="15">
        <v>19.100000000000001</v>
      </c>
      <c r="C46" s="20"/>
      <c r="D46" s="20"/>
      <c r="E46" s="20"/>
      <c r="F46" s="20"/>
      <c r="G46" s="20"/>
      <c r="H46" s="20"/>
      <c r="I46" s="20"/>
      <c r="J46" s="33" t="s">
        <v>26</v>
      </c>
    </row>
    <row r="47" spans="1:10" ht="39" customHeight="1">
      <c r="A47" s="11">
        <v>46023</v>
      </c>
      <c r="B47" s="15">
        <v>19.2</v>
      </c>
      <c r="C47" s="20"/>
      <c r="D47" s="20"/>
      <c r="E47" s="20"/>
      <c r="F47" s="20"/>
      <c r="G47" s="20"/>
      <c r="H47" s="20"/>
      <c r="I47" s="20"/>
    </row>
    <row r="48" spans="1:10" ht="39" customHeight="1">
      <c r="A48" s="11">
        <v>46024</v>
      </c>
      <c r="B48" s="15">
        <v>19.3</v>
      </c>
      <c r="C48" s="20"/>
      <c r="D48" s="20"/>
      <c r="E48" s="20"/>
      <c r="F48" s="20"/>
      <c r="G48" s="20"/>
      <c r="H48" s="20"/>
      <c r="I48" s="20"/>
    </row>
    <row r="49" spans="1:9" ht="39" customHeight="1">
      <c r="A49" s="11">
        <v>46025</v>
      </c>
      <c r="B49" s="15">
        <v>19.399999999999999</v>
      </c>
      <c r="C49" s="20"/>
      <c r="D49" s="20"/>
      <c r="E49" s="20"/>
      <c r="F49" s="20"/>
      <c r="G49" s="20"/>
      <c r="H49" s="20"/>
      <c r="I49" s="20"/>
    </row>
    <row r="50" spans="1:9" ht="39" customHeight="1">
      <c r="A50" s="11">
        <v>46026</v>
      </c>
      <c r="B50" s="15">
        <v>19.5</v>
      </c>
      <c r="C50" s="20"/>
      <c r="D50" s="20"/>
      <c r="E50" s="20"/>
      <c r="F50" s="20"/>
      <c r="G50" s="20"/>
      <c r="H50" s="20"/>
      <c r="I50" s="20"/>
    </row>
    <row r="51" spans="1:9" ht="39" customHeight="1">
      <c r="A51" s="11">
        <v>46027</v>
      </c>
      <c r="B51" s="15">
        <v>19.600000000000001</v>
      </c>
      <c r="C51" s="20"/>
      <c r="D51" s="20"/>
      <c r="E51" s="20"/>
      <c r="F51" s="20"/>
      <c r="G51" s="20"/>
      <c r="H51" s="20"/>
      <c r="I51" s="20"/>
    </row>
    <row r="52" spans="1:9" ht="39" customHeight="1">
      <c r="A52" s="11">
        <v>46028</v>
      </c>
      <c r="B52" s="15">
        <v>20</v>
      </c>
      <c r="C52" s="20"/>
      <c r="D52" s="20"/>
      <c r="E52" s="20"/>
      <c r="F52" s="20"/>
      <c r="G52" s="20"/>
      <c r="H52" s="20"/>
      <c r="I52" s="20"/>
    </row>
    <row r="53" spans="1:9" ht="39" customHeight="1">
      <c r="A53" s="11">
        <v>46029</v>
      </c>
      <c r="B53" s="15">
        <v>20.100000000000001</v>
      </c>
      <c r="C53" s="20"/>
      <c r="D53" s="20"/>
      <c r="E53" s="20"/>
      <c r="F53" s="20"/>
      <c r="G53" s="20"/>
      <c r="H53" s="20"/>
      <c r="I53" s="20"/>
    </row>
    <row r="54" spans="1:9" ht="39" customHeight="1">
      <c r="A54" s="11">
        <v>46030</v>
      </c>
      <c r="B54" s="15">
        <v>20.2</v>
      </c>
      <c r="C54" s="20"/>
      <c r="D54" s="20"/>
      <c r="E54" s="20"/>
      <c r="F54" s="20"/>
      <c r="G54" s="20"/>
      <c r="H54" s="20"/>
      <c r="I54" s="20"/>
    </row>
    <row r="55" spans="1:9" ht="39" customHeight="1">
      <c r="A55" s="11">
        <v>46031</v>
      </c>
      <c r="B55" s="15">
        <v>20.3</v>
      </c>
      <c r="C55" s="20"/>
      <c r="D55" s="20"/>
      <c r="E55" s="20"/>
      <c r="F55" s="20"/>
      <c r="G55" s="20"/>
      <c r="H55" s="20"/>
      <c r="I55" s="20"/>
    </row>
    <row r="56" spans="1:9" ht="39" customHeight="1">
      <c r="A56" s="11">
        <v>46032</v>
      </c>
      <c r="B56" s="15">
        <v>20.399999999999999</v>
      </c>
      <c r="C56" s="20"/>
      <c r="D56" s="20"/>
      <c r="E56" s="20"/>
      <c r="F56" s="20"/>
      <c r="G56" s="20"/>
      <c r="H56" s="20"/>
      <c r="I56" s="20"/>
    </row>
    <row r="57" spans="1:9" ht="39" customHeight="1">
      <c r="A57" s="11">
        <v>46033</v>
      </c>
      <c r="B57" s="15">
        <v>20.5</v>
      </c>
      <c r="C57" s="20"/>
      <c r="D57" s="20"/>
      <c r="E57" s="20"/>
      <c r="F57" s="20"/>
      <c r="G57" s="20"/>
      <c r="H57" s="20"/>
      <c r="I57" s="20"/>
    </row>
    <row r="58" spans="1:9" ht="39" customHeight="1">
      <c r="A58" s="11">
        <v>46034</v>
      </c>
      <c r="B58" s="15">
        <v>20.6</v>
      </c>
      <c r="C58" s="20"/>
      <c r="D58" s="20"/>
      <c r="E58" s="20"/>
      <c r="F58" s="20"/>
      <c r="G58" s="20"/>
      <c r="H58" s="20"/>
      <c r="I58" s="20"/>
    </row>
    <row r="59" spans="1:9" ht="39" customHeight="1">
      <c r="A59" s="11">
        <v>46035</v>
      </c>
      <c r="B59" s="15">
        <v>21</v>
      </c>
      <c r="C59" s="21"/>
      <c r="D59" s="21"/>
      <c r="E59" s="21"/>
      <c r="F59" s="21"/>
      <c r="G59" s="21"/>
      <c r="H59" s="21"/>
      <c r="I59" s="21"/>
    </row>
    <row r="60" spans="1:9" ht="39" customHeight="1">
      <c r="A60" s="11">
        <v>46036</v>
      </c>
      <c r="B60" s="15">
        <v>21.1</v>
      </c>
      <c r="C60" s="21"/>
      <c r="D60" s="21"/>
      <c r="E60" s="21"/>
      <c r="F60" s="21"/>
      <c r="G60" s="21"/>
      <c r="H60" s="21"/>
      <c r="I60" s="21"/>
    </row>
    <row r="61" spans="1:9" ht="39" customHeight="1">
      <c r="A61" s="11">
        <v>46037</v>
      </c>
      <c r="B61" s="15">
        <v>21.2</v>
      </c>
      <c r="C61" s="21"/>
      <c r="D61" s="21"/>
      <c r="E61" s="21"/>
      <c r="F61" s="21"/>
      <c r="G61" s="21"/>
      <c r="H61" s="21"/>
      <c r="I61" s="21"/>
    </row>
    <row r="62" spans="1:9" ht="39" customHeight="1">
      <c r="A62" s="11">
        <v>46038</v>
      </c>
      <c r="B62" s="15">
        <v>21.3</v>
      </c>
      <c r="C62" s="21"/>
      <c r="D62" s="21"/>
      <c r="E62" s="21"/>
      <c r="F62" s="21"/>
      <c r="G62" s="21"/>
      <c r="H62" s="21"/>
      <c r="I62" s="21"/>
    </row>
    <row r="63" spans="1:9" ht="39" customHeight="1">
      <c r="A63" s="11">
        <v>46039</v>
      </c>
      <c r="B63" s="15">
        <v>21.4</v>
      </c>
      <c r="C63" s="21"/>
      <c r="D63" s="21"/>
      <c r="E63" s="21"/>
      <c r="F63" s="21"/>
      <c r="G63" s="21"/>
      <c r="H63" s="21"/>
      <c r="I63" s="21"/>
    </row>
    <row r="64" spans="1:9" ht="39" customHeight="1">
      <c r="A64" s="11">
        <v>46040</v>
      </c>
      <c r="B64" s="15">
        <v>21.5</v>
      </c>
      <c r="C64" s="21"/>
      <c r="D64" s="21"/>
      <c r="E64" s="21"/>
      <c r="F64" s="21"/>
      <c r="G64" s="21"/>
      <c r="H64" s="21"/>
      <c r="I64" s="21"/>
    </row>
    <row r="65" spans="1:9" ht="39" customHeight="1">
      <c r="A65" s="11">
        <v>46041</v>
      </c>
      <c r="B65" s="15">
        <v>21.6</v>
      </c>
      <c r="C65" s="21"/>
      <c r="D65" s="21"/>
      <c r="E65" s="21"/>
      <c r="F65" s="21"/>
      <c r="G65" s="21"/>
      <c r="H65" s="21"/>
      <c r="I65" s="21"/>
    </row>
    <row r="66" spans="1:9" ht="39" customHeight="1">
      <c r="A66" s="11">
        <v>46042</v>
      </c>
      <c r="B66" s="15">
        <v>22</v>
      </c>
      <c r="C66" s="21"/>
      <c r="D66" s="21"/>
      <c r="E66" s="21"/>
      <c r="F66" s="21"/>
      <c r="G66" s="21"/>
      <c r="H66" s="21"/>
      <c r="I66" s="21"/>
    </row>
    <row r="67" spans="1:9" ht="39" customHeight="1">
      <c r="A67" s="11">
        <v>46043</v>
      </c>
      <c r="B67" s="15">
        <v>22.1</v>
      </c>
      <c r="C67" s="21"/>
      <c r="D67" s="21"/>
      <c r="E67" s="21"/>
      <c r="F67" s="21"/>
      <c r="G67" s="21"/>
      <c r="H67" s="21"/>
      <c r="I67" s="21"/>
    </row>
    <row r="68" spans="1:9" ht="39" customHeight="1">
      <c r="A68" s="11">
        <v>46044</v>
      </c>
      <c r="B68" s="15">
        <v>22.2</v>
      </c>
      <c r="C68" s="21"/>
      <c r="D68" s="21"/>
      <c r="E68" s="21"/>
      <c r="F68" s="21"/>
      <c r="G68" s="21"/>
      <c r="H68" s="21"/>
      <c r="I68" s="21"/>
    </row>
    <row r="69" spans="1:9" ht="39" customHeight="1">
      <c r="A69" s="11">
        <v>46045</v>
      </c>
      <c r="B69" s="15">
        <v>22.3</v>
      </c>
      <c r="C69" s="21"/>
      <c r="D69" s="21"/>
      <c r="E69" s="21"/>
      <c r="F69" s="21"/>
      <c r="G69" s="21"/>
      <c r="H69" s="21"/>
      <c r="I69" s="21"/>
    </row>
    <row r="70" spans="1:9" ht="39" customHeight="1">
      <c r="A70" s="11">
        <v>46046</v>
      </c>
      <c r="B70" s="15">
        <v>22.4</v>
      </c>
      <c r="C70" s="21"/>
      <c r="D70" s="21"/>
      <c r="E70" s="21"/>
      <c r="F70" s="21"/>
      <c r="G70" s="21"/>
      <c r="H70" s="21"/>
      <c r="I70" s="21"/>
    </row>
    <row r="71" spans="1:9" ht="39" customHeight="1">
      <c r="A71" s="11">
        <v>46047</v>
      </c>
      <c r="B71" s="15">
        <v>22.5</v>
      </c>
      <c r="C71" s="21"/>
      <c r="D71" s="21"/>
      <c r="E71" s="21"/>
      <c r="F71" s="21"/>
      <c r="G71" s="21"/>
      <c r="H71" s="21"/>
      <c r="I71" s="21"/>
    </row>
    <row r="72" spans="1:9" ht="39" customHeight="1">
      <c r="A72" s="11">
        <v>46048</v>
      </c>
      <c r="B72" s="15">
        <v>22.6</v>
      </c>
      <c r="C72" s="21"/>
      <c r="D72" s="21"/>
      <c r="E72" s="21"/>
      <c r="F72" s="21"/>
      <c r="G72" s="21"/>
      <c r="H72" s="21"/>
      <c r="I72" s="21"/>
    </row>
    <row r="73" spans="1:9" ht="39" customHeight="1">
      <c r="A73" s="11">
        <v>46049</v>
      </c>
      <c r="B73" s="15">
        <v>23</v>
      </c>
      <c r="C73" s="21"/>
      <c r="D73" s="21"/>
      <c r="E73" s="21"/>
      <c r="F73" s="21"/>
      <c r="G73" s="21"/>
      <c r="H73" s="21"/>
      <c r="I73" s="21"/>
    </row>
    <row r="74" spans="1:9" ht="39" customHeight="1">
      <c r="A74" s="11">
        <v>46050</v>
      </c>
      <c r="B74" s="15">
        <v>23.1</v>
      </c>
      <c r="C74" s="21"/>
      <c r="D74" s="21"/>
      <c r="E74" s="21"/>
      <c r="F74" s="21"/>
      <c r="G74" s="21"/>
      <c r="H74" s="21"/>
      <c r="I74" s="21"/>
    </row>
    <row r="75" spans="1:9" ht="39" customHeight="1">
      <c r="A75" s="11">
        <v>46051</v>
      </c>
      <c r="B75" s="15">
        <v>23.2</v>
      </c>
      <c r="C75" s="21"/>
      <c r="D75" s="21"/>
      <c r="E75" s="21"/>
      <c r="F75" s="21"/>
      <c r="G75" s="21"/>
      <c r="H75" s="21"/>
      <c r="I75" s="21"/>
    </row>
    <row r="76" spans="1:9" ht="39" customHeight="1">
      <c r="A76" s="11">
        <v>46052</v>
      </c>
      <c r="B76" s="15">
        <v>23.3</v>
      </c>
      <c r="C76" s="21"/>
      <c r="D76" s="21"/>
      <c r="E76" s="21"/>
      <c r="F76" s="21"/>
      <c r="G76" s="21"/>
      <c r="H76" s="21"/>
      <c r="I76" s="21"/>
    </row>
    <row r="77" spans="1:9" ht="39" customHeight="1">
      <c r="A77" s="11">
        <v>46053</v>
      </c>
      <c r="B77" s="15">
        <v>23.4</v>
      </c>
      <c r="C77" s="21"/>
      <c r="D77" s="21"/>
      <c r="E77" s="21"/>
      <c r="F77" s="21"/>
      <c r="G77" s="21"/>
      <c r="H77" s="21"/>
      <c r="I77" s="21"/>
    </row>
    <row r="78" spans="1:9" ht="39" customHeight="1">
      <c r="A78" s="11">
        <v>46054</v>
      </c>
      <c r="B78" s="15">
        <v>23.5</v>
      </c>
      <c r="C78" s="21"/>
      <c r="D78" s="21"/>
      <c r="E78" s="21"/>
      <c r="F78" s="21"/>
      <c r="G78" s="21"/>
      <c r="H78" s="21"/>
      <c r="I78" s="21"/>
    </row>
    <row r="79" spans="1:9" ht="39" customHeight="1">
      <c r="A79" s="11">
        <v>46055</v>
      </c>
      <c r="B79" s="15">
        <v>23.6</v>
      </c>
      <c r="C79" s="21"/>
      <c r="D79" s="21"/>
      <c r="E79" s="21"/>
      <c r="F79" s="21"/>
      <c r="G79" s="21"/>
      <c r="H79" s="21"/>
      <c r="I79" s="21"/>
    </row>
    <row r="80" spans="1:9" ht="39" customHeight="1">
      <c r="A80" s="11">
        <v>46056</v>
      </c>
      <c r="B80" s="15">
        <v>24</v>
      </c>
      <c r="C80" s="21"/>
      <c r="D80" s="21"/>
      <c r="E80" s="21"/>
      <c r="F80" s="21"/>
      <c r="G80" s="21"/>
      <c r="H80" s="21"/>
      <c r="I80" s="21"/>
    </row>
    <row r="81" spans="1:9" ht="39" customHeight="1">
      <c r="A81" s="11">
        <v>46057</v>
      </c>
      <c r="B81" s="15">
        <v>24.1</v>
      </c>
      <c r="C81" s="21"/>
      <c r="D81" s="21"/>
      <c r="E81" s="21"/>
      <c r="F81" s="21"/>
      <c r="G81" s="21"/>
      <c r="H81" s="21"/>
      <c r="I81" s="21"/>
    </row>
    <row r="82" spans="1:9" ht="39" customHeight="1">
      <c r="A82" s="11">
        <v>46058</v>
      </c>
      <c r="B82" s="15">
        <v>24.2</v>
      </c>
      <c r="C82" s="21"/>
      <c r="D82" s="21"/>
      <c r="E82" s="21"/>
      <c r="F82" s="21"/>
      <c r="G82" s="21"/>
      <c r="H82" s="21"/>
      <c r="I82" s="21"/>
    </row>
    <row r="83" spans="1:9" ht="39" customHeight="1">
      <c r="A83" s="11">
        <v>46059</v>
      </c>
      <c r="B83" s="15">
        <v>24.3</v>
      </c>
      <c r="C83" s="21"/>
      <c r="D83" s="21"/>
      <c r="E83" s="21"/>
      <c r="F83" s="21"/>
      <c r="G83" s="21"/>
      <c r="H83" s="21"/>
      <c r="I83" s="21"/>
    </row>
    <row r="84" spans="1:9" ht="39" customHeight="1">
      <c r="A84" s="11">
        <v>46060</v>
      </c>
      <c r="B84" s="15">
        <v>24.4</v>
      </c>
      <c r="C84" s="21"/>
      <c r="D84" s="21"/>
      <c r="E84" s="21"/>
      <c r="F84" s="21"/>
      <c r="G84" s="21"/>
      <c r="H84" s="21"/>
      <c r="I84" s="21"/>
    </row>
    <row r="85" spans="1:9" ht="39" customHeight="1">
      <c r="A85" s="11">
        <v>46061</v>
      </c>
      <c r="B85" s="15">
        <v>24.5</v>
      </c>
      <c r="C85" s="21"/>
      <c r="D85" s="21"/>
      <c r="E85" s="21"/>
      <c r="F85" s="21"/>
      <c r="G85" s="21"/>
      <c r="H85" s="21"/>
      <c r="I85" s="21"/>
    </row>
    <row r="86" spans="1:9" ht="39" customHeight="1">
      <c r="A86" s="11">
        <v>46062</v>
      </c>
      <c r="B86" s="15">
        <v>24.6</v>
      </c>
      <c r="C86" s="21"/>
      <c r="D86" s="21"/>
      <c r="E86" s="21"/>
      <c r="F86" s="21"/>
      <c r="G86" s="21"/>
      <c r="H86" s="21"/>
      <c r="I86" s="21"/>
    </row>
    <row r="87" spans="1:9" ht="39" customHeight="1">
      <c r="A87" s="11">
        <v>46063</v>
      </c>
      <c r="B87" s="15">
        <v>25</v>
      </c>
      <c r="C87" s="21"/>
      <c r="D87" s="21"/>
      <c r="E87" s="21"/>
      <c r="F87" s="21"/>
      <c r="G87" s="21"/>
      <c r="H87" s="21"/>
      <c r="I87" s="21"/>
    </row>
    <row r="88" spans="1:9" ht="39" customHeight="1">
      <c r="A88" s="11">
        <v>46064</v>
      </c>
      <c r="B88" s="15">
        <v>25.1</v>
      </c>
      <c r="C88" s="21"/>
      <c r="D88" s="21"/>
      <c r="E88" s="21"/>
      <c r="F88" s="21"/>
      <c r="G88" s="21"/>
      <c r="H88" s="21"/>
      <c r="I88" s="21"/>
    </row>
    <row r="89" spans="1:9" ht="39" customHeight="1">
      <c r="A89" s="11">
        <v>46065</v>
      </c>
      <c r="B89" s="15">
        <v>25.2</v>
      </c>
      <c r="C89" s="21"/>
      <c r="D89" s="21"/>
      <c r="E89" s="21"/>
      <c r="F89" s="21"/>
      <c r="G89" s="21"/>
      <c r="H89" s="21"/>
      <c r="I89" s="21"/>
    </row>
    <row r="90" spans="1:9" ht="39" customHeight="1">
      <c r="A90" s="11">
        <v>46066</v>
      </c>
      <c r="B90" s="15">
        <v>25.3</v>
      </c>
      <c r="C90" s="21"/>
      <c r="D90" s="21"/>
      <c r="E90" s="21"/>
      <c r="F90" s="21"/>
      <c r="G90" s="21"/>
      <c r="H90" s="21"/>
      <c r="I90" s="21"/>
    </row>
    <row r="91" spans="1:9" ht="39" customHeight="1">
      <c r="A91" s="11">
        <v>46067</v>
      </c>
      <c r="B91" s="15">
        <v>25.4</v>
      </c>
      <c r="C91" s="21"/>
      <c r="D91" s="21"/>
      <c r="E91" s="21"/>
      <c r="F91" s="21"/>
      <c r="G91" s="21"/>
      <c r="H91" s="21"/>
      <c r="I91" s="21"/>
    </row>
    <row r="92" spans="1:9" ht="39" customHeight="1">
      <c r="A92" s="11">
        <v>46068</v>
      </c>
      <c r="B92" s="15">
        <v>25.5</v>
      </c>
      <c r="C92" s="21"/>
      <c r="D92" s="21"/>
      <c r="E92" s="21"/>
      <c r="F92" s="21"/>
      <c r="G92" s="21"/>
      <c r="H92" s="21"/>
      <c r="I92" s="21"/>
    </row>
    <row r="93" spans="1:9" ht="39" customHeight="1">
      <c r="A93" s="11">
        <v>46069</v>
      </c>
      <c r="B93" s="15">
        <v>25.6</v>
      </c>
      <c r="C93" s="21"/>
      <c r="D93" s="21"/>
      <c r="E93" s="21"/>
      <c r="F93" s="21"/>
      <c r="G93" s="21"/>
      <c r="H93" s="21"/>
      <c r="I93" s="21"/>
    </row>
    <row r="94" spans="1:9" ht="39" customHeight="1">
      <c r="A94" s="11">
        <v>46070</v>
      </c>
      <c r="B94" s="15">
        <v>26</v>
      </c>
      <c r="C94" s="21"/>
      <c r="D94" s="21"/>
      <c r="E94" s="21"/>
      <c r="F94" s="21"/>
      <c r="G94" s="21"/>
      <c r="H94" s="21"/>
      <c r="I94" s="21"/>
    </row>
    <row r="95" spans="1:9" ht="39" customHeight="1">
      <c r="A95" s="11">
        <v>46071</v>
      </c>
      <c r="B95" s="15">
        <v>26.1</v>
      </c>
      <c r="C95" s="21"/>
      <c r="D95" s="21"/>
      <c r="E95" s="21"/>
      <c r="F95" s="21"/>
      <c r="G95" s="21"/>
      <c r="H95" s="21"/>
      <c r="I95" s="21"/>
    </row>
    <row r="96" spans="1:9" ht="39" customHeight="1">
      <c r="A96" s="11">
        <v>46072</v>
      </c>
      <c r="B96" s="15">
        <v>26.2</v>
      </c>
      <c r="C96" s="21"/>
      <c r="D96" s="21"/>
      <c r="E96" s="21"/>
      <c r="F96" s="21"/>
      <c r="G96" s="21"/>
      <c r="H96" s="21"/>
      <c r="I96" s="21"/>
    </row>
    <row r="97" spans="1:9" ht="39" customHeight="1">
      <c r="A97" s="11">
        <v>46073</v>
      </c>
      <c r="B97" s="15">
        <v>26.3</v>
      </c>
      <c r="C97" s="21"/>
      <c r="D97" s="21"/>
      <c r="E97" s="21"/>
      <c r="F97" s="21"/>
      <c r="G97" s="21"/>
      <c r="H97" s="21"/>
      <c r="I97" s="21"/>
    </row>
    <row r="98" spans="1:9" ht="39" customHeight="1">
      <c r="A98" s="11">
        <v>46074</v>
      </c>
      <c r="B98" s="15">
        <v>26.4</v>
      </c>
      <c r="C98" s="21"/>
      <c r="D98" s="21"/>
      <c r="E98" s="21"/>
      <c r="F98" s="21"/>
      <c r="G98" s="21"/>
      <c r="H98" s="21"/>
      <c r="I98" s="21"/>
    </row>
    <row r="99" spans="1:9" ht="39" customHeight="1">
      <c r="A99" s="11">
        <v>46075</v>
      </c>
      <c r="B99" s="15">
        <v>26.5</v>
      </c>
      <c r="C99" s="21"/>
      <c r="D99" s="21"/>
      <c r="E99" s="21"/>
      <c r="F99" s="21"/>
      <c r="G99" s="21"/>
      <c r="H99" s="21"/>
      <c r="I99" s="21"/>
    </row>
    <row r="100" spans="1:9" ht="39" customHeight="1">
      <c r="A100" s="11">
        <v>46076</v>
      </c>
      <c r="B100" s="15">
        <v>26.6</v>
      </c>
      <c r="C100" s="21"/>
      <c r="D100" s="21"/>
      <c r="E100" s="21"/>
      <c r="F100" s="21"/>
      <c r="G100" s="21"/>
      <c r="H100" s="21"/>
      <c r="I100" s="21"/>
    </row>
    <row r="101" spans="1:9" ht="39" customHeight="1">
      <c r="A101" s="11">
        <v>46077</v>
      </c>
      <c r="B101" s="15">
        <v>27</v>
      </c>
      <c r="C101" s="21"/>
      <c r="D101" s="21"/>
      <c r="E101" s="21"/>
      <c r="F101" s="21"/>
      <c r="G101" s="21"/>
      <c r="H101" s="21"/>
      <c r="I101" s="21"/>
    </row>
    <row r="102" spans="1:9" ht="39" customHeight="1">
      <c r="A102" s="11">
        <v>46078</v>
      </c>
      <c r="B102" s="15">
        <v>27.1</v>
      </c>
      <c r="C102" s="21"/>
      <c r="D102" s="21"/>
      <c r="E102" s="21"/>
      <c r="F102" s="21"/>
      <c r="G102" s="21"/>
      <c r="H102" s="21"/>
      <c r="I102" s="21"/>
    </row>
    <row r="103" spans="1:9" ht="39" customHeight="1">
      <c r="A103" s="11">
        <v>46079</v>
      </c>
      <c r="B103" s="15">
        <v>27.2</v>
      </c>
      <c r="C103" s="21"/>
      <c r="D103" s="21"/>
      <c r="E103" s="21"/>
      <c r="F103" s="21"/>
      <c r="G103" s="21"/>
      <c r="H103" s="21"/>
      <c r="I103" s="21"/>
    </row>
    <row r="104" spans="1:9" ht="39" customHeight="1">
      <c r="A104" s="11">
        <v>46080</v>
      </c>
      <c r="B104" s="15">
        <v>27.3</v>
      </c>
      <c r="C104" s="21"/>
      <c r="D104" s="21"/>
      <c r="E104" s="21"/>
      <c r="F104" s="21"/>
      <c r="G104" s="21"/>
      <c r="H104" s="21"/>
      <c r="I104" s="21"/>
    </row>
    <row r="105" spans="1:9" ht="39" customHeight="1">
      <c r="A105" s="11">
        <v>46081</v>
      </c>
      <c r="B105" s="15">
        <v>27.4</v>
      </c>
      <c r="C105" s="21"/>
      <c r="D105" s="21"/>
      <c r="E105" s="21"/>
      <c r="F105" s="21"/>
      <c r="G105" s="21"/>
      <c r="H105" s="21"/>
      <c r="I105" s="21"/>
    </row>
    <row r="106" spans="1:9" ht="39" customHeight="1">
      <c r="A106" s="11">
        <v>46082</v>
      </c>
      <c r="B106" s="15">
        <v>27.5</v>
      </c>
      <c r="C106" s="21"/>
      <c r="D106" s="21"/>
      <c r="E106" s="21"/>
      <c r="F106" s="21"/>
      <c r="G106" s="21"/>
      <c r="H106" s="21"/>
      <c r="I106" s="21"/>
    </row>
    <row r="107" spans="1:9" ht="39" customHeight="1">
      <c r="A107" s="11">
        <v>46083</v>
      </c>
      <c r="B107" s="15">
        <v>27.6</v>
      </c>
      <c r="C107" s="21"/>
      <c r="D107" s="21"/>
      <c r="E107" s="21"/>
      <c r="F107" s="21"/>
      <c r="G107" s="21"/>
      <c r="H107" s="21"/>
      <c r="I107" s="21"/>
    </row>
    <row r="108" spans="1:9" ht="39" customHeight="1">
      <c r="A108" s="11">
        <v>46084</v>
      </c>
      <c r="B108" s="15">
        <v>28</v>
      </c>
      <c r="C108" s="21"/>
      <c r="D108" s="21"/>
      <c r="E108" s="21"/>
      <c r="F108" s="21"/>
      <c r="G108" s="21"/>
      <c r="H108" s="21"/>
      <c r="I108" s="21"/>
    </row>
    <row r="109" spans="1:9" ht="39" customHeight="1">
      <c r="A109" s="11">
        <v>46085</v>
      </c>
      <c r="B109" s="15">
        <v>28.1</v>
      </c>
      <c r="C109" s="21"/>
      <c r="D109" s="21"/>
      <c r="E109" s="21"/>
      <c r="F109" s="21"/>
      <c r="G109" s="21"/>
      <c r="H109" s="21"/>
      <c r="I109" s="21"/>
    </row>
    <row r="110" spans="1:9" ht="39" customHeight="1">
      <c r="A110" s="11">
        <v>46086</v>
      </c>
      <c r="B110" s="15">
        <v>28.2</v>
      </c>
      <c r="C110" s="21"/>
      <c r="D110" s="21"/>
      <c r="E110" s="21"/>
      <c r="F110" s="21"/>
      <c r="G110" s="21"/>
      <c r="H110" s="21"/>
      <c r="I110" s="21"/>
    </row>
    <row r="111" spans="1:9" ht="39" customHeight="1">
      <c r="A111" s="11">
        <v>46087</v>
      </c>
      <c r="B111" s="15">
        <v>28.3</v>
      </c>
      <c r="C111" s="21"/>
      <c r="D111" s="21"/>
      <c r="E111" s="21"/>
      <c r="F111" s="21"/>
      <c r="G111" s="21"/>
      <c r="H111" s="21"/>
      <c r="I111" s="21"/>
    </row>
    <row r="112" spans="1:9" ht="39" customHeight="1">
      <c r="A112" s="11">
        <v>46088</v>
      </c>
      <c r="B112" s="15">
        <v>28.4</v>
      </c>
      <c r="C112" s="21"/>
      <c r="D112" s="21"/>
      <c r="E112" s="21"/>
      <c r="F112" s="21"/>
      <c r="G112" s="21"/>
      <c r="H112" s="21"/>
      <c r="I112" s="21"/>
    </row>
    <row r="113" spans="1:9" ht="39" customHeight="1">
      <c r="A113" s="11">
        <v>46089</v>
      </c>
      <c r="B113" s="15">
        <v>28.5</v>
      </c>
      <c r="C113" s="21"/>
      <c r="D113" s="21"/>
      <c r="E113" s="21"/>
      <c r="F113" s="21"/>
      <c r="G113" s="21"/>
      <c r="H113" s="21"/>
      <c r="I113" s="21"/>
    </row>
    <row r="114" spans="1:9" ht="39" customHeight="1">
      <c r="A114" s="11">
        <v>46090</v>
      </c>
      <c r="B114" s="15">
        <v>28.6</v>
      </c>
      <c r="C114" s="21"/>
      <c r="D114" s="21"/>
      <c r="E114" s="21"/>
      <c r="F114" s="21"/>
      <c r="G114" s="21"/>
      <c r="H114" s="21"/>
      <c r="I114" s="21"/>
    </row>
    <row r="115" spans="1:9" ht="39" customHeight="1">
      <c r="A115" s="11">
        <v>46091</v>
      </c>
      <c r="B115" s="15">
        <v>29</v>
      </c>
      <c r="C115" s="21"/>
      <c r="D115" s="21"/>
      <c r="E115" s="21"/>
      <c r="F115" s="21"/>
      <c r="G115" s="21"/>
      <c r="H115" s="21"/>
      <c r="I115" s="21"/>
    </row>
    <row r="116" spans="1:9" ht="39" customHeight="1">
      <c r="A116" s="11">
        <v>46092</v>
      </c>
      <c r="B116" s="15">
        <v>29.1</v>
      </c>
      <c r="C116" s="21"/>
      <c r="D116" s="21"/>
      <c r="E116" s="21"/>
      <c r="F116" s="21"/>
      <c r="G116" s="21"/>
      <c r="H116" s="21"/>
      <c r="I116" s="21"/>
    </row>
    <row r="117" spans="1:9" ht="39" customHeight="1">
      <c r="A117" s="11">
        <v>46093</v>
      </c>
      <c r="B117" s="15">
        <v>29.2</v>
      </c>
      <c r="C117" s="21"/>
      <c r="D117" s="21"/>
      <c r="E117" s="21"/>
      <c r="F117" s="21"/>
      <c r="G117" s="21"/>
      <c r="H117" s="21"/>
      <c r="I117" s="21"/>
    </row>
    <row r="118" spans="1:9" ht="39" customHeight="1">
      <c r="A118" s="11">
        <v>46094</v>
      </c>
      <c r="B118" s="15">
        <v>29.3</v>
      </c>
      <c r="C118" s="21"/>
      <c r="D118" s="21"/>
      <c r="E118" s="21"/>
      <c r="F118" s="21"/>
      <c r="G118" s="21"/>
      <c r="H118" s="21"/>
      <c r="I118" s="21"/>
    </row>
    <row r="119" spans="1:9" ht="39" customHeight="1">
      <c r="A119" s="11">
        <v>46095</v>
      </c>
      <c r="B119" s="15">
        <v>29.4</v>
      </c>
      <c r="C119" s="21"/>
      <c r="D119" s="21"/>
      <c r="E119" s="21"/>
      <c r="F119" s="21"/>
      <c r="G119" s="21"/>
      <c r="H119" s="21"/>
      <c r="I119" s="21"/>
    </row>
    <row r="120" spans="1:9" ht="39" customHeight="1">
      <c r="A120" s="11">
        <v>46096</v>
      </c>
      <c r="B120" s="15">
        <v>29.5</v>
      </c>
      <c r="C120" s="21"/>
      <c r="D120" s="21"/>
      <c r="E120" s="21"/>
      <c r="F120" s="21"/>
      <c r="G120" s="21"/>
      <c r="H120" s="21"/>
      <c r="I120" s="21"/>
    </row>
    <row r="121" spans="1:9" ht="39" customHeight="1">
      <c r="A121" s="11">
        <v>46097</v>
      </c>
      <c r="B121" s="15">
        <v>29.6</v>
      </c>
      <c r="C121" s="21"/>
      <c r="D121" s="21"/>
      <c r="E121" s="21"/>
      <c r="F121" s="21"/>
      <c r="G121" s="21"/>
      <c r="H121" s="21"/>
      <c r="I121" s="21"/>
    </row>
    <row r="122" spans="1:9" ht="39" customHeight="1">
      <c r="A122" s="11">
        <v>46098</v>
      </c>
      <c r="B122" s="15">
        <v>30</v>
      </c>
      <c r="C122" s="21"/>
      <c r="D122" s="21"/>
      <c r="E122" s="21"/>
      <c r="F122" s="21"/>
      <c r="G122" s="21"/>
      <c r="H122" s="21"/>
      <c r="I122" s="21"/>
    </row>
    <row r="123" spans="1:9" ht="39" customHeight="1">
      <c r="A123" s="11">
        <v>46099</v>
      </c>
      <c r="B123" s="15">
        <v>30.1</v>
      </c>
      <c r="C123" s="21"/>
      <c r="D123" s="21"/>
      <c r="E123" s="21"/>
      <c r="F123" s="21"/>
      <c r="G123" s="21"/>
      <c r="H123" s="21"/>
      <c r="I123" s="21"/>
    </row>
    <row r="124" spans="1:9" ht="39" customHeight="1">
      <c r="A124" s="11">
        <v>46100</v>
      </c>
      <c r="B124" s="15">
        <v>30.2</v>
      </c>
      <c r="C124" s="21"/>
      <c r="D124" s="21"/>
      <c r="E124" s="21"/>
      <c r="F124" s="21"/>
      <c r="G124" s="21"/>
      <c r="H124" s="21"/>
      <c r="I124" s="21"/>
    </row>
    <row r="125" spans="1:9" ht="39" customHeight="1">
      <c r="A125" s="11">
        <v>46101</v>
      </c>
      <c r="B125" s="15">
        <v>30.3</v>
      </c>
      <c r="C125" s="21"/>
      <c r="D125" s="21"/>
      <c r="E125" s="21"/>
      <c r="F125" s="21"/>
      <c r="G125" s="21"/>
      <c r="H125" s="21"/>
      <c r="I125" s="21"/>
    </row>
    <row r="126" spans="1:9" ht="39" customHeight="1">
      <c r="A126" s="11">
        <v>46102</v>
      </c>
      <c r="B126" s="15">
        <v>30.4</v>
      </c>
      <c r="C126" s="21"/>
      <c r="D126" s="21"/>
      <c r="E126" s="21"/>
      <c r="F126" s="21"/>
      <c r="G126" s="21"/>
      <c r="H126" s="21"/>
      <c r="I126" s="21"/>
    </row>
    <row r="127" spans="1:9" ht="39" customHeight="1">
      <c r="A127" s="11">
        <v>46103</v>
      </c>
      <c r="B127" s="15">
        <v>30.5</v>
      </c>
      <c r="C127" s="21"/>
      <c r="D127" s="21"/>
      <c r="E127" s="21"/>
      <c r="F127" s="21"/>
      <c r="G127" s="21"/>
      <c r="H127" s="21"/>
      <c r="I127" s="21"/>
    </row>
    <row r="128" spans="1:9" ht="39" customHeight="1">
      <c r="A128" s="11">
        <v>46104</v>
      </c>
      <c r="B128" s="15">
        <v>30.6</v>
      </c>
      <c r="C128" s="21"/>
      <c r="D128" s="21"/>
      <c r="E128" s="21"/>
      <c r="F128" s="21"/>
      <c r="G128" s="21"/>
      <c r="H128" s="21"/>
      <c r="I128" s="21"/>
    </row>
    <row r="129" spans="1:9" ht="39" customHeight="1">
      <c r="A129" s="11">
        <v>46105</v>
      </c>
      <c r="B129" s="15">
        <v>31</v>
      </c>
      <c r="C129" s="21"/>
      <c r="D129" s="21"/>
      <c r="E129" s="21"/>
      <c r="F129" s="21"/>
      <c r="G129" s="21"/>
      <c r="H129" s="21"/>
      <c r="I129" s="21"/>
    </row>
    <row r="130" spans="1:9" ht="39" customHeight="1">
      <c r="A130" s="11">
        <v>46106</v>
      </c>
      <c r="B130" s="15">
        <v>31.1</v>
      </c>
      <c r="C130" s="21"/>
      <c r="D130" s="21"/>
      <c r="E130" s="21"/>
      <c r="F130" s="21"/>
      <c r="G130" s="21"/>
      <c r="H130" s="21"/>
      <c r="I130" s="21"/>
    </row>
    <row r="131" spans="1:9" ht="39" customHeight="1">
      <c r="A131" s="11">
        <v>46107</v>
      </c>
      <c r="B131" s="15">
        <v>31.2</v>
      </c>
      <c r="C131" s="21"/>
      <c r="D131" s="21"/>
      <c r="E131" s="21"/>
      <c r="F131" s="21"/>
      <c r="G131" s="21"/>
      <c r="H131" s="21"/>
      <c r="I131" s="21"/>
    </row>
    <row r="132" spans="1:9" ht="39" customHeight="1">
      <c r="A132" s="11">
        <v>46108</v>
      </c>
      <c r="B132" s="15">
        <v>31.3</v>
      </c>
      <c r="C132" s="21"/>
      <c r="D132" s="21"/>
      <c r="E132" s="21"/>
      <c r="F132" s="21"/>
      <c r="G132" s="21"/>
      <c r="H132" s="21"/>
      <c r="I132" s="21"/>
    </row>
    <row r="133" spans="1:9" ht="39" customHeight="1">
      <c r="A133" s="11">
        <v>46109</v>
      </c>
      <c r="B133" s="15">
        <v>31.4</v>
      </c>
      <c r="C133" s="21"/>
      <c r="D133" s="21"/>
      <c r="E133" s="21"/>
      <c r="F133" s="21"/>
      <c r="G133" s="21"/>
      <c r="H133" s="21"/>
      <c r="I133" s="21"/>
    </row>
    <row r="134" spans="1:9" ht="39" customHeight="1">
      <c r="A134" s="11">
        <v>46110</v>
      </c>
      <c r="B134" s="15">
        <v>31.5</v>
      </c>
      <c r="C134" s="21"/>
      <c r="D134" s="21"/>
      <c r="E134" s="21"/>
      <c r="F134" s="21"/>
      <c r="G134" s="21"/>
      <c r="H134" s="21"/>
      <c r="I134" s="21"/>
    </row>
    <row r="135" spans="1:9" ht="39" customHeight="1">
      <c r="A135" s="11">
        <v>46111</v>
      </c>
      <c r="B135" s="15">
        <v>31.6</v>
      </c>
      <c r="C135" s="21"/>
      <c r="D135" s="21"/>
      <c r="E135" s="21"/>
      <c r="F135" s="21"/>
      <c r="G135" s="21"/>
      <c r="H135" s="21"/>
      <c r="I135" s="21"/>
    </row>
    <row r="136" spans="1:9" ht="39" customHeight="1">
      <c r="A136" s="11">
        <v>46112</v>
      </c>
      <c r="B136" s="15">
        <v>32</v>
      </c>
      <c r="C136" s="21"/>
      <c r="D136" s="21"/>
      <c r="E136" s="21"/>
      <c r="F136" s="21"/>
      <c r="G136" s="21"/>
      <c r="H136" s="21"/>
      <c r="I136" s="21"/>
    </row>
    <row r="137" spans="1:9" ht="39" customHeight="1">
      <c r="A137" s="11">
        <v>46113</v>
      </c>
      <c r="B137" s="15">
        <v>32.1</v>
      </c>
      <c r="C137" s="21"/>
      <c r="D137" s="21"/>
      <c r="E137" s="21"/>
      <c r="F137" s="21"/>
      <c r="G137" s="21"/>
      <c r="H137" s="21"/>
      <c r="I137" s="21"/>
    </row>
    <row r="138" spans="1:9" ht="39" customHeight="1">
      <c r="A138" s="11">
        <v>46114</v>
      </c>
      <c r="B138" s="15">
        <v>32.200000000000003</v>
      </c>
      <c r="C138" s="21"/>
      <c r="D138" s="21"/>
      <c r="E138" s="21"/>
      <c r="F138" s="21"/>
      <c r="G138" s="21"/>
      <c r="H138" s="21"/>
      <c r="I138" s="21"/>
    </row>
    <row r="139" spans="1:9" ht="39" customHeight="1">
      <c r="A139" s="11">
        <v>46115</v>
      </c>
      <c r="B139" s="15">
        <v>32.299999999999997</v>
      </c>
      <c r="C139" s="21"/>
      <c r="D139" s="21"/>
      <c r="E139" s="21"/>
      <c r="F139" s="21"/>
      <c r="G139" s="21"/>
      <c r="H139" s="21"/>
      <c r="I139" s="21"/>
    </row>
    <row r="140" spans="1:9" ht="39" customHeight="1">
      <c r="A140" s="11">
        <v>46116</v>
      </c>
      <c r="B140" s="15">
        <v>32.4</v>
      </c>
      <c r="C140" s="21"/>
      <c r="D140" s="21"/>
      <c r="E140" s="21"/>
      <c r="F140" s="21"/>
      <c r="G140" s="21"/>
      <c r="H140" s="21"/>
      <c r="I140" s="21"/>
    </row>
    <row r="141" spans="1:9" ht="39" customHeight="1">
      <c r="A141" s="11">
        <v>46117</v>
      </c>
      <c r="B141" s="15">
        <v>32.5</v>
      </c>
      <c r="C141" s="21"/>
      <c r="D141" s="21"/>
      <c r="E141" s="21"/>
      <c r="F141" s="21"/>
      <c r="G141" s="21"/>
      <c r="H141" s="21"/>
      <c r="I141" s="21"/>
    </row>
    <row r="142" spans="1:9" ht="39" customHeight="1">
      <c r="A142" s="11">
        <v>46118</v>
      </c>
      <c r="B142" s="15">
        <v>32.6</v>
      </c>
      <c r="C142" s="21"/>
      <c r="D142" s="21"/>
      <c r="E142" s="21"/>
      <c r="F142" s="21"/>
      <c r="G142" s="21"/>
      <c r="H142" s="21"/>
      <c r="I142" s="21"/>
    </row>
    <row r="143" spans="1:9" ht="39" customHeight="1">
      <c r="A143" s="11">
        <v>46119</v>
      </c>
      <c r="B143" s="15">
        <v>33</v>
      </c>
      <c r="C143" s="21"/>
      <c r="D143" s="21"/>
      <c r="E143" s="21"/>
      <c r="F143" s="21"/>
      <c r="G143" s="21"/>
      <c r="H143" s="21"/>
      <c r="I143" s="21"/>
    </row>
    <row r="144" spans="1:9" ht="39" customHeight="1">
      <c r="A144" s="11">
        <v>46120</v>
      </c>
      <c r="B144" s="15">
        <v>33.1</v>
      </c>
      <c r="C144" s="21"/>
      <c r="D144" s="21"/>
      <c r="E144" s="21"/>
      <c r="F144" s="21"/>
      <c r="G144" s="21"/>
      <c r="H144" s="21"/>
      <c r="I144" s="21"/>
    </row>
    <row r="145" spans="1:9" ht="39" customHeight="1">
      <c r="A145" s="11">
        <v>46121</v>
      </c>
      <c r="B145" s="15">
        <v>33.200000000000003</v>
      </c>
      <c r="C145" s="21"/>
      <c r="D145" s="21"/>
      <c r="E145" s="21"/>
      <c r="F145" s="21"/>
      <c r="G145" s="21"/>
      <c r="H145" s="21"/>
      <c r="I145" s="21"/>
    </row>
    <row r="146" spans="1:9" ht="39" customHeight="1">
      <c r="A146" s="11">
        <v>46122</v>
      </c>
      <c r="B146" s="15">
        <v>33.299999999999997</v>
      </c>
      <c r="C146" s="21"/>
      <c r="D146" s="21"/>
      <c r="E146" s="21"/>
      <c r="F146" s="21"/>
      <c r="G146" s="21"/>
      <c r="H146" s="21"/>
      <c r="I146" s="21"/>
    </row>
    <row r="147" spans="1:9" ht="39" customHeight="1">
      <c r="A147" s="11">
        <v>46123</v>
      </c>
      <c r="B147" s="15">
        <v>33.4</v>
      </c>
      <c r="C147" s="21"/>
      <c r="D147" s="21"/>
      <c r="E147" s="21"/>
      <c r="F147" s="21"/>
      <c r="G147" s="21"/>
      <c r="H147" s="21"/>
      <c r="I147" s="21"/>
    </row>
    <row r="148" spans="1:9" ht="39" customHeight="1">
      <c r="A148" s="11">
        <v>46124</v>
      </c>
      <c r="B148" s="15">
        <v>33.5</v>
      </c>
      <c r="C148" s="21"/>
      <c r="D148" s="21"/>
      <c r="E148" s="21"/>
      <c r="F148" s="21"/>
      <c r="G148" s="21"/>
      <c r="H148" s="21"/>
      <c r="I148" s="21"/>
    </row>
    <row r="149" spans="1:9" ht="39" customHeight="1">
      <c r="A149" s="11">
        <v>46125</v>
      </c>
      <c r="B149" s="15">
        <v>33.6</v>
      </c>
      <c r="C149" s="21"/>
      <c r="D149" s="21"/>
      <c r="E149" s="21"/>
      <c r="F149" s="21"/>
      <c r="G149" s="21"/>
      <c r="H149" s="21"/>
      <c r="I149" s="21"/>
    </row>
    <row r="150" spans="1:9" ht="39" customHeight="1">
      <c r="A150" s="11">
        <v>46126</v>
      </c>
      <c r="B150" s="15">
        <v>34</v>
      </c>
      <c r="C150" s="21"/>
      <c r="D150" s="21"/>
      <c r="E150" s="21"/>
      <c r="F150" s="21"/>
      <c r="G150" s="21"/>
      <c r="H150" s="21"/>
      <c r="I150" s="21"/>
    </row>
    <row r="151" spans="1:9" ht="39" customHeight="1">
      <c r="A151" s="11">
        <v>46127</v>
      </c>
      <c r="B151" s="15">
        <v>34.1</v>
      </c>
      <c r="C151" s="21"/>
      <c r="D151" s="21"/>
      <c r="E151" s="21"/>
      <c r="F151" s="21"/>
      <c r="G151" s="21"/>
      <c r="H151" s="21"/>
      <c r="I151" s="21"/>
    </row>
    <row r="152" spans="1:9" ht="39" customHeight="1">
      <c r="A152" s="11">
        <v>46128</v>
      </c>
      <c r="B152" s="15">
        <v>34.200000000000003</v>
      </c>
      <c r="C152" s="21"/>
      <c r="D152" s="21"/>
      <c r="E152" s="21"/>
      <c r="F152" s="21"/>
      <c r="G152" s="21"/>
      <c r="H152" s="21"/>
      <c r="I152" s="21"/>
    </row>
    <row r="153" spans="1:9" ht="39" customHeight="1">
      <c r="A153" s="11">
        <v>46129</v>
      </c>
      <c r="B153" s="15">
        <v>34.299999999999997</v>
      </c>
      <c r="C153" s="21"/>
      <c r="D153" s="21"/>
      <c r="E153" s="21"/>
      <c r="F153" s="21"/>
      <c r="G153" s="21"/>
      <c r="H153" s="21"/>
      <c r="I153" s="21"/>
    </row>
    <row r="154" spans="1:9" ht="39" customHeight="1">
      <c r="A154" s="11">
        <v>46130</v>
      </c>
      <c r="B154" s="15">
        <v>34.4</v>
      </c>
      <c r="C154" s="21"/>
      <c r="D154" s="21"/>
      <c r="E154" s="21"/>
      <c r="F154" s="21"/>
      <c r="G154" s="21"/>
      <c r="H154" s="21"/>
      <c r="I154" s="21"/>
    </row>
    <row r="155" spans="1:9" ht="39" customHeight="1">
      <c r="A155" s="11">
        <v>46131</v>
      </c>
      <c r="B155" s="15">
        <v>34.5</v>
      </c>
      <c r="C155" s="21"/>
      <c r="D155" s="21"/>
      <c r="E155" s="21"/>
      <c r="F155" s="21"/>
      <c r="G155" s="21"/>
      <c r="H155" s="21"/>
      <c r="I155" s="21"/>
    </row>
    <row r="156" spans="1:9" ht="39" customHeight="1">
      <c r="A156" s="11">
        <v>46132</v>
      </c>
      <c r="B156" s="15">
        <v>34.6</v>
      </c>
      <c r="C156" s="21"/>
      <c r="D156" s="21"/>
      <c r="E156" s="21"/>
      <c r="F156" s="21"/>
      <c r="G156" s="21"/>
      <c r="H156" s="21"/>
      <c r="I156" s="21"/>
    </row>
    <row r="157" spans="1:9" ht="39" customHeight="1">
      <c r="A157" s="11">
        <v>46133</v>
      </c>
      <c r="B157" s="15">
        <v>35</v>
      </c>
      <c r="C157" s="21"/>
      <c r="D157" s="21"/>
      <c r="E157" s="21"/>
      <c r="F157" s="21"/>
      <c r="G157" s="21"/>
      <c r="H157" s="21"/>
      <c r="I157" s="21"/>
    </row>
    <row r="158" spans="1:9" ht="39" customHeight="1">
      <c r="A158" s="11">
        <v>46134</v>
      </c>
      <c r="B158" s="15">
        <v>35.1</v>
      </c>
      <c r="C158" s="21"/>
      <c r="D158" s="21"/>
      <c r="E158" s="21"/>
      <c r="F158" s="21"/>
      <c r="G158" s="21"/>
      <c r="H158" s="21"/>
      <c r="I158" s="21"/>
    </row>
    <row r="159" spans="1:9" ht="39" customHeight="1">
      <c r="A159" s="11">
        <v>46135</v>
      </c>
      <c r="B159" s="15">
        <v>35.200000000000003</v>
      </c>
      <c r="C159" s="21"/>
      <c r="D159" s="21"/>
      <c r="E159" s="21"/>
      <c r="F159" s="21"/>
      <c r="G159" s="21"/>
      <c r="H159" s="21"/>
      <c r="I159" s="21"/>
    </row>
    <row r="160" spans="1:9" ht="39" customHeight="1">
      <c r="A160" s="11">
        <v>46136</v>
      </c>
      <c r="B160" s="15">
        <v>35.299999999999997</v>
      </c>
      <c r="C160" s="21"/>
      <c r="D160" s="21"/>
      <c r="E160" s="21"/>
      <c r="F160" s="21"/>
      <c r="G160" s="21"/>
      <c r="H160" s="21"/>
      <c r="I160" s="21"/>
    </row>
    <row r="161" spans="1:9" ht="39" customHeight="1">
      <c r="A161" s="11">
        <v>46137</v>
      </c>
      <c r="B161" s="15">
        <v>35.4</v>
      </c>
      <c r="C161" s="21"/>
      <c r="D161" s="21"/>
      <c r="E161" s="21"/>
      <c r="F161" s="21"/>
      <c r="G161" s="21"/>
      <c r="H161" s="21"/>
      <c r="I161" s="21"/>
    </row>
    <row r="162" spans="1:9" ht="39" customHeight="1">
      <c r="A162" s="11">
        <v>46138</v>
      </c>
      <c r="B162" s="15">
        <v>35.5</v>
      </c>
      <c r="C162" s="21"/>
      <c r="D162" s="21"/>
      <c r="E162" s="21"/>
      <c r="F162" s="21"/>
      <c r="G162" s="21"/>
      <c r="H162" s="21"/>
      <c r="I162" s="21"/>
    </row>
    <row r="163" spans="1:9" ht="39" customHeight="1">
      <c r="A163" s="11">
        <v>46139</v>
      </c>
      <c r="B163" s="15">
        <v>35.6</v>
      </c>
      <c r="C163" s="21"/>
      <c r="D163" s="21"/>
      <c r="E163" s="21"/>
      <c r="F163" s="21"/>
      <c r="G163" s="21"/>
      <c r="H163" s="21"/>
      <c r="I163" s="21"/>
    </row>
    <row r="164" spans="1:9" ht="39" customHeight="1">
      <c r="A164" s="11">
        <v>46140</v>
      </c>
      <c r="B164" s="15">
        <v>36</v>
      </c>
      <c r="C164" s="21"/>
      <c r="D164" s="21"/>
      <c r="E164" s="21"/>
      <c r="F164" s="21"/>
      <c r="G164" s="21"/>
      <c r="H164" s="21"/>
      <c r="I164" s="21"/>
    </row>
    <row r="165" spans="1:9" ht="39" customHeight="1">
      <c r="A165" s="11">
        <v>46141</v>
      </c>
      <c r="B165" s="15">
        <v>36.1</v>
      </c>
      <c r="C165" s="21"/>
      <c r="D165" s="21"/>
      <c r="E165" s="21"/>
      <c r="F165" s="21"/>
      <c r="G165" s="21"/>
      <c r="H165" s="21"/>
      <c r="I165" s="21"/>
    </row>
    <row r="166" spans="1:9" ht="39" customHeight="1">
      <c r="A166" s="11">
        <v>46142</v>
      </c>
      <c r="B166" s="15">
        <v>36.200000000000003</v>
      </c>
      <c r="C166" s="21"/>
      <c r="D166" s="21"/>
      <c r="E166" s="21"/>
      <c r="F166" s="21"/>
      <c r="G166" s="21"/>
      <c r="H166" s="21"/>
      <c r="I166" s="21"/>
    </row>
    <row r="167" spans="1:9" ht="39" customHeight="1">
      <c r="A167" s="11">
        <v>46143</v>
      </c>
      <c r="B167" s="15">
        <v>36.299999999999997</v>
      </c>
      <c r="C167" s="21"/>
      <c r="D167" s="21"/>
      <c r="E167" s="21"/>
      <c r="F167" s="21"/>
      <c r="G167" s="21"/>
      <c r="H167" s="21"/>
      <c r="I167" s="21"/>
    </row>
    <row r="168" spans="1:9" ht="39" customHeight="1">
      <c r="A168" s="11">
        <v>46144</v>
      </c>
      <c r="B168" s="15">
        <v>36.4</v>
      </c>
      <c r="C168" s="21"/>
      <c r="D168" s="21"/>
      <c r="E168" s="21"/>
      <c r="F168" s="21"/>
      <c r="G168" s="21"/>
      <c r="H168" s="21"/>
      <c r="I168" s="21"/>
    </row>
    <row r="169" spans="1:9" ht="39" customHeight="1">
      <c r="A169" s="11">
        <v>46145</v>
      </c>
      <c r="B169" s="15">
        <v>36.5</v>
      </c>
      <c r="C169" s="21"/>
      <c r="D169" s="21"/>
      <c r="E169" s="21"/>
      <c r="F169" s="21"/>
      <c r="G169" s="21"/>
      <c r="H169" s="21"/>
      <c r="I169" s="21"/>
    </row>
    <row r="170" spans="1:9" ht="39" customHeight="1">
      <c r="A170" s="11">
        <v>46146</v>
      </c>
      <c r="B170" s="15">
        <v>36.6</v>
      </c>
      <c r="C170" s="21"/>
      <c r="D170" s="21"/>
      <c r="E170" s="21"/>
      <c r="F170" s="21"/>
      <c r="G170" s="21"/>
      <c r="H170" s="21"/>
      <c r="I170" s="21"/>
    </row>
    <row r="171" spans="1:9" ht="39" customHeight="1">
      <c r="A171" s="11">
        <v>46147</v>
      </c>
      <c r="B171" s="15">
        <v>37</v>
      </c>
      <c r="C171" s="21"/>
      <c r="D171" s="21"/>
      <c r="E171" s="21"/>
      <c r="F171" s="21"/>
      <c r="G171" s="21"/>
      <c r="H171" s="21"/>
      <c r="I171" s="21"/>
    </row>
    <row r="172" spans="1:9" ht="39" customHeight="1">
      <c r="A172" s="11">
        <v>46148</v>
      </c>
      <c r="B172" s="15">
        <v>37.1</v>
      </c>
      <c r="C172" s="21"/>
      <c r="D172" s="21"/>
      <c r="E172" s="21"/>
      <c r="F172" s="21"/>
      <c r="G172" s="21"/>
      <c r="H172" s="21"/>
      <c r="I172" s="21"/>
    </row>
    <row r="173" spans="1:9" ht="39" customHeight="1">
      <c r="A173" s="11">
        <v>46149</v>
      </c>
      <c r="B173" s="15">
        <v>37.200000000000003</v>
      </c>
      <c r="C173" s="21"/>
      <c r="D173" s="21"/>
      <c r="E173" s="21"/>
      <c r="F173" s="21"/>
      <c r="G173" s="21"/>
      <c r="H173" s="21"/>
      <c r="I173" s="21"/>
    </row>
    <row r="174" spans="1:9" ht="39" customHeight="1">
      <c r="A174" s="11">
        <v>46150</v>
      </c>
      <c r="B174" s="15">
        <v>37.299999999999997</v>
      </c>
      <c r="C174" s="21"/>
      <c r="D174" s="21"/>
      <c r="E174" s="21"/>
      <c r="F174" s="21"/>
      <c r="G174" s="21"/>
      <c r="H174" s="21"/>
      <c r="I174" s="21"/>
    </row>
    <row r="175" spans="1:9" ht="39" customHeight="1">
      <c r="A175" s="11">
        <v>46151</v>
      </c>
      <c r="B175" s="15">
        <v>37.4</v>
      </c>
      <c r="C175" s="21"/>
      <c r="D175" s="21"/>
      <c r="E175" s="21"/>
      <c r="F175" s="21"/>
      <c r="G175" s="21"/>
      <c r="H175" s="21"/>
      <c r="I175" s="21"/>
    </row>
    <row r="176" spans="1:9" ht="39" customHeight="1">
      <c r="A176" s="11">
        <v>46152</v>
      </c>
      <c r="B176" s="15">
        <v>37.5</v>
      </c>
      <c r="C176" s="21"/>
      <c r="D176" s="21"/>
      <c r="E176" s="21"/>
      <c r="F176" s="21"/>
      <c r="G176" s="21"/>
      <c r="H176" s="21"/>
      <c r="I176" s="21"/>
    </row>
    <row r="177" spans="1:9" ht="39" customHeight="1">
      <c r="A177" s="11">
        <v>46153</v>
      </c>
      <c r="B177" s="15">
        <v>37.6</v>
      </c>
      <c r="C177" s="21"/>
      <c r="D177" s="21"/>
      <c r="E177" s="21"/>
      <c r="F177" s="21"/>
      <c r="G177" s="21"/>
      <c r="H177" s="21"/>
      <c r="I177" s="21"/>
    </row>
    <row r="178" spans="1:9" ht="39" customHeight="1">
      <c r="A178" s="11">
        <v>46154</v>
      </c>
      <c r="B178" s="15">
        <v>38</v>
      </c>
      <c r="C178" s="21"/>
      <c r="D178" s="21"/>
      <c r="E178" s="21"/>
      <c r="F178" s="21"/>
      <c r="G178" s="21"/>
      <c r="H178" s="21"/>
      <c r="I178" s="21"/>
    </row>
    <row r="179" spans="1:9" ht="39" customHeight="1">
      <c r="A179" s="11">
        <v>46155</v>
      </c>
      <c r="B179" s="15">
        <v>38.1</v>
      </c>
      <c r="C179" s="21"/>
      <c r="D179" s="21"/>
      <c r="E179" s="21"/>
      <c r="F179" s="21"/>
      <c r="G179" s="21"/>
      <c r="H179" s="21"/>
      <c r="I179" s="21"/>
    </row>
    <row r="180" spans="1:9" ht="39" customHeight="1">
      <c r="A180" s="11">
        <v>46156</v>
      </c>
      <c r="B180" s="15">
        <v>38.200000000000003</v>
      </c>
      <c r="C180" s="21"/>
      <c r="D180" s="21"/>
      <c r="E180" s="21"/>
      <c r="F180" s="21"/>
      <c r="G180" s="21"/>
      <c r="H180" s="21"/>
      <c r="I180" s="21"/>
    </row>
    <row r="181" spans="1:9" ht="39" customHeight="1">
      <c r="A181" s="11">
        <v>46157</v>
      </c>
      <c r="B181" s="15">
        <v>38.299999999999997</v>
      </c>
      <c r="C181" s="21"/>
      <c r="D181" s="21"/>
      <c r="E181" s="21"/>
      <c r="F181" s="21"/>
      <c r="G181" s="21"/>
      <c r="H181" s="21"/>
      <c r="I181" s="21"/>
    </row>
    <row r="182" spans="1:9" ht="39" customHeight="1">
      <c r="A182" s="11">
        <v>46158</v>
      </c>
      <c r="B182" s="15">
        <v>38.4</v>
      </c>
      <c r="C182" s="21"/>
      <c r="D182" s="21"/>
      <c r="E182" s="21"/>
      <c r="F182" s="21"/>
      <c r="G182" s="21"/>
      <c r="H182" s="21"/>
      <c r="I182" s="21"/>
    </row>
    <row r="183" spans="1:9" ht="39" customHeight="1">
      <c r="A183" s="11">
        <v>46159</v>
      </c>
      <c r="B183" s="15">
        <v>38.5</v>
      </c>
      <c r="C183" s="21"/>
      <c r="D183" s="21"/>
      <c r="E183" s="21"/>
      <c r="F183" s="21"/>
      <c r="G183" s="21"/>
      <c r="H183" s="21"/>
      <c r="I183" s="21"/>
    </row>
    <row r="184" spans="1:9" ht="39" customHeight="1">
      <c r="A184" s="11">
        <v>46160</v>
      </c>
      <c r="B184" s="15">
        <v>38.6</v>
      </c>
      <c r="C184" s="21"/>
      <c r="D184" s="21"/>
      <c r="E184" s="21"/>
      <c r="F184" s="21"/>
      <c r="G184" s="21"/>
      <c r="H184" s="21"/>
      <c r="I184" s="21"/>
    </row>
    <row r="185" spans="1:9" ht="39" customHeight="1">
      <c r="A185" s="11">
        <v>46161</v>
      </c>
      <c r="B185" s="15">
        <v>39</v>
      </c>
      <c r="C185" s="21"/>
      <c r="D185" s="21"/>
      <c r="E185" s="21"/>
      <c r="F185" s="21"/>
      <c r="G185" s="21"/>
      <c r="H185" s="21"/>
      <c r="I185" s="21"/>
    </row>
    <row r="186" spans="1:9" ht="39" customHeight="1">
      <c r="A186" s="11">
        <v>46162</v>
      </c>
      <c r="B186" s="15">
        <v>39.1</v>
      </c>
      <c r="C186" s="21"/>
      <c r="D186" s="21"/>
      <c r="E186" s="21"/>
      <c r="F186" s="21"/>
      <c r="G186" s="21"/>
      <c r="H186" s="21"/>
      <c r="I186" s="21"/>
    </row>
    <row r="187" spans="1:9" ht="39" customHeight="1">
      <c r="A187" s="11">
        <v>46163</v>
      </c>
      <c r="B187" s="15">
        <v>39.200000000000003</v>
      </c>
      <c r="C187" s="21"/>
      <c r="D187" s="21"/>
      <c r="E187" s="21"/>
      <c r="F187" s="21"/>
      <c r="G187" s="21"/>
      <c r="H187" s="21"/>
      <c r="I187" s="21"/>
    </row>
    <row r="188" spans="1:9" ht="39" customHeight="1">
      <c r="A188" s="11">
        <v>46164</v>
      </c>
      <c r="B188" s="15">
        <v>39.299999999999997</v>
      </c>
      <c r="C188" s="21"/>
      <c r="D188" s="21"/>
      <c r="E188" s="21"/>
      <c r="F188" s="21"/>
      <c r="G188" s="21"/>
      <c r="H188" s="21"/>
      <c r="I188" s="21"/>
    </row>
    <row r="189" spans="1:9" ht="39" customHeight="1">
      <c r="A189" s="11">
        <v>46165</v>
      </c>
      <c r="B189" s="15">
        <v>39.4</v>
      </c>
      <c r="C189" s="21"/>
      <c r="D189" s="21"/>
      <c r="E189" s="21"/>
      <c r="F189" s="21"/>
      <c r="G189" s="21"/>
      <c r="H189" s="21"/>
      <c r="I189" s="21"/>
    </row>
    <row r="190" spans="1:9" ht="39" customHeight="1">
      <c r="A190" s="11">
        <v>46166</v>
      </c>
      <c r="B190" s="15">
        <v>39.5</v>
      </c>
      <c r="C190" s="21"/>
      <c r="D190" s="21"/>
      <c r="E190" s="21"/>
      <c r="F190" s="21"/>
      <c r="G190" s="21"/>
      <c r="H190" s="21"/>
      <c r="I190" s="21"/>
    </row>
    <row r="191" spans="1:9" ht="39" customHeight="1">
      <c r="A191" s="11">
        <v>46167</v>
      </c>
      <c r="B191" s="15">
        <v>39.6</v>
      </c>
      <c r="C191" s="21"/>
      <c r="D191" s="21"/>
      <c r="E191" s="21"/>
      <c r="F191" s="21"/>
      <c r="G191" s="21"/>
      <c r="H191" s="21"/>
      <c r="I191" s="21"/>
    </row>
    <row r="192" spans="1:9" ht="39" customHeight="1">
      <c r="A192" s="11">
        <v>46168</v>
      </c>
      <c r="B192" s="15">
        <v>40</v>
      </c>
      <c r="C192" s="21"/>
      <c r="D192" s="21"/>
      <c r="E192" s="21"/>
      <c r="F192" s="21"/>
      <c r="G192" s="21"/>
      <c r="H192" s="21"/>
      <c r="I192" s="21"/>
    </row>
    <row r="193" ht="39" customHeight="1"/>
    <row r="194" ht="39" customHeight="1"/>
    <row r="195" ht="39" customHeight="1"/>
    <row r="196" ht="39" customHeight="1"/>
    <row r="197" ht="39" customHeight="1"/>
    <row r="198" ht="39" customHeight="1"/>
    <row r="199" ht="39" customHeight="1"/>
    <row r="200" ht="39" customHeight="1"/>
    <row r="201" ht="39" customHeight="1"/>
    <row r="202" ht="39" customHeight="1"/>
    <row r="203" ht="39" customHeight="1"/>
    <row r="204" ht="39" customHeight="1"/>
    <row r="205" ht="39" customHeight="1"/>
    <row r="206" ht="39" customHeight="1"/>
    <row r="207" ht="39" customHeight="1"/>
    <row r="208" ht="39" customHeight="1"/>
    <row r="209" ht="39" customHeight="1"/>
    <row r="210" ht="39" customHeight="1"/>
    <row r="211" ht="39" customHeight="1"/>
    <row r="212" ht="39" customHeight="1"/>
    <row r="213" ht="39" customHeight="1"/>
    <row r="214" ht="39" customHeight="1"/>
    <row r="215" ht="39" customHeight="1"/>
    <row r="216" ht="39" customHeight="1"/>
    <row r="217" ht="39" customHeight="1"/>
    <row r="218" ht="39" customHeight="1"/>
    <row r="219" ht="39" customHeight="1"/>
    <row r="220" ht="39" customHeight="1"/>
    <row r="221" ht="39" customHeight="1"/>
    <row r="222" ht="39" customHeight="1"/>
    <row r="223" ht="39" customHeight="1"/>
    <row r="224" ht="39" customHeight="1"/>
    <row r="225" ht="39" customHeight="1"/>
    <row r="226" ht="39" customHeight="1"/>
    <row r="227" ht="39" customHeight="1"/>
    <row r="228" ht="39" customHeight="1"/>
    <row r="229" ht="39" customHeight="1"/>
    <row r="230" ht="39" customHeight="1"/>
    <row r="231" ht="39" customHeight="1"/>
    <row r="232" ht="39" customHeight="1"/>
    <row r="233" ht="39" customHeight="1"/>
    <row r="234" ht="39" customHeight="1"/>
    <row r="235" ht="39" customHeight="1"/>
    <row r="236" ht="39" customHeight="1"/>
    <row r="237" ht="39" customHeight="1"/>
    <row r="238" ht="39" customHeight="1"/>
    <row r="239" ht="39" customHeight="1"/>
    <row r="240" ht="39" customHeight="1"/>
    <row r="241" ht="39" customHeight="1"/>
    <row r="242" ht="39" customHeight="1"/>
    <row r="243" ht="39" customHeight="1"/>
    <row r="244" ht="39" customHeight="1"/>
    <row r="245" ht="39" customHeight="1"/>
    <row r="246" ht="39" customHeight="1"/>
    <row r="247" ht="39" customHeight="1"/>
    <row r="248" ht="39" customHeight="1"/>
    <row r="249" ht="39" customHeight="1"/>
    <row r="250" ht="39" customHeight="1"/>
    <row r="251" ht="39" customHeight="1"/>
    <row r="252" ht="39" customHeight="1"/>
    <row r="253" ht="39" customHeight="1"/>
    <row r="254" ht="39" customHeight="1"/>
    <row r="255" ht="39" customHeight="1"/>
    <row r="256" ht="39" customHeight="1"/>
    <row r="257" ht="39" customHeight="1"/>
    <row r="258" ht="39" customHeight="1"/>
    <row r="259" ht="39" customHeight="1"/>
    <row r="260" ht="39" customHeight="1"/>
    <row r="261" ht="39" customHeight="1"/>
    <row r="262" ht="39" customHeight="1"/>
    <row r="263" ht="39" customHeight="1"/>
    <row r="264" ht="39" customHeight="1"/>
    <row r="265" ht="39" customHeight="1"/>
    <row r="266" ht="39" customHeight="1"/>
    <row r="267" ht="39" customHeight="1"/>
    <row r="268" ht="39" customHeight="1"/>
    <row r="269" ht="39" customHeight="1"/>
    <row r="270" ht="39" customHeight="1"/>
    <row r="271" ht="39" customHeight="1"/>
    <row r="272" ht="39" customHeight="1"/>
    <row r="273" ht="39" customHeight="1"/>
    <row r="274" ht="39" customHeight="1"/>
    <row r="275" ht="39" customHeight="1"/>
    <row r="276" ht="39" customHeight="1"/>
    <row r="277" ht="39" customHeight="1"/>
    <row r="278" ht="39" customHeight="1"/>
    <row r="279" ht="39" customHeight="1"/>
    <row r="280" ht="39" customHeight="1"/>
    <row r="281" ht="39" customHeight="1"/>
    <row r="282" ht="39" customHeight="1"/>
    <row r="283" ht="39" customHeight="1"/>
    <row r="284" ht="39" customHeight="1"/>
    <row r="285" ht="39" customHeight="1"/>
    <row r="286" ht="39" customHeight="1"/>
    <row r="287" ht="39" customHeight="1"/>
    <row r="288" ht="39" customHeight="1"/>
    <row r="289" ht="39" customHeight="1"/>
    <row r="290" ht="39" customHeight="1"/>
    <row r="291" ht="39" customHeight="1"/>
    <row r="292" ht="39" customHeight="1"/>
    <row r="293" ht="39" customHeight="1"/>
    <row r="294" ht="39" customHeight="1"/>
    <row r="295" ht="39" customHeight="1"/>
    <row r="296" ht="39" customHeight="1"/>
    <row r="297" ht="39" customHeight="1"/>
    <row r="298" ht="39" customHeight="1"/>
    <row r="299" ht="39" customHeight="1"/>
    <row r="300" ht="39" customHeight="1"/>
    <row r="301" ht="39" customHeight="1"/>
    <row r="302" ht="39" customHeight="1"/>
    <row r="303" ht="39" customHeight="1"/>
    <row r="304" ht="39" customHeight="1"/>
    <row r="305" ht="39" customHeight="1"/>
    <row r="306" ht="39" customHeight="1"/>
    <row r="307" ht="39" customHeight="1"/>
    <row r="308" ht="39" customHeight="1"/>
    <row r="309" ht="39" customHeight="1"/>
    <row r="310" ht="39" customHeight="1"/>
    <row r="311" ht="39" customHeight="1"/>
    <row r="312" ht="39" customHeight="1"/>
    <row r="313" ht="39" customHeight="1"/>
    <row r="314" ht="39" customHeight="1"/>
    <row r="315" ht="39" customHeight="1"/>
    <row r="316" ht="39" customHeight="1"/>
    <row r="317" ht="39" customHeight="1"/>
    <row r="318" ht="39" customHeight="1"/>
    <row r="319" ht="39" customHeight="1"/>
    <row r="320" ht="39" customHeight="1"/>
    <row r="321" ht="39" customHeight="1"/>
    <row r="322" ht="39" customHeight="1"/>
    <row r="323" ht="39" customHeight="1"/>
    <row r="324" ht="39" customHeight="1"/>
    <row r="325" ht="39" customHeight="1"/>
    <row r="326" ht="39" customHeight="1"/>
    <row r="327" ht="39" customHeight="1"/>
    <row r="328" ht="39" customHeight="1"/>
    <row r="329" ht="39" customHeight="1"/>
    <row r="330" ht="39" customHeight="1"/>
    <row r="331" ht="39" customHeight="1"/>
    <row r="332" ht="39" customHeight="1"/>
    <row r="333" ht="39" customHeight="1"/>
    <row r="334" ht="39" customHeight="1"/>
    <row r="335" ht="39" customHeight="1"/>
    <row r="336" ht="39" customHeight="1"/>
    <row r="337" ht="39" customHeight="1"/>
    <row r="338" ht="39" customHeight="1"/>
    <row r="339" ht="39" customHeight="1"/>
    <row r="340" ht="39" customHeight="1"/>
    <row r="341" ht="39" customHeight="1"/>
    <row r="342" ht="39" customHeight="1"/>
    <row r="343" ht="39" customHeight="1"/>
    <row r="344" ht="39" customHeight="1"/>
    <row r="345" ht="39" customHeight="1"/>
    <row r="346" ht="39" customHeight="1"/>
    <row r="347" ht="39" customHeight="1"/>
    <row r="348" ht="39" customHeight="1"/>
    <row r="349" ht="39" customHeight="1"/>
    <row r="350" ht="39" customHeight="1"/>
    <row r="351" ht="39" customHeight="1"/>
    <row r="352" ht="39" customHeight="1"/>
    <row r="353" ht="39" customHeight="1"/>
    <row r="354" ht="39" customHeight="1"/>
    <row r="355" ht="39" customHeight="1"/>
    <row r="356" ht="39" customHeight="1"/>
    <row r="357" ht="39" customHeight="1"/>
    <row r="358" ht="39" customHeight="1"/>
    <row r="359" ht="39" customHeight="1"/>
    <row r="360" ht="39" customHeight="1"/>
    <row r="361" ht="39" customHeight="1"/>
    <row r="362" ht="39" customHeight="1"/>
    <row r="363" ht="39" customHeight="1"/>
    <row r="364" ht="39" customHeight="1"/>
    <row r="365" ht="39" customHeight="1"/>
    <row r="366" ht="39" customHeight="1"/>
    <row r="367" ht="39" customHeight="1"/>
    <row r="368" ht="39" customHeight="1"/>
    <row r="369" ht="39" customHeight="1"/>
    <row r="370" ht="39" customHeight="1"/>
    <row r="371" ht="39" customHeight="1"/>
    <row r="372" ht="39" customHeight="1"/>
    <row r="373" ht="39" customHeight="1"/>
    <row r="374" ht="39" customHeight="1"/>
    <row r="375" ht="39" customHeight="1"/>
    <row r="376" ht="39" customHeight="1"/>
    <row r="377" ht="39" customHeight="1"/>
    <row r="378" ht="39" customHeight="1"/>
    <row r="379" ht="39" customHeight="1"/>
    <row r="380" ht="39" customHeight="1"/>
    <row r="381" ht="39" customHeight="1"/>
    <row r="382" ht="39" customHeight="1"/>
    <row r="383" ht="39" customHeight="1"/>
    <row r="384" ht="39" customHeight="1"/>
    <row r="385" ht="39" customHeight="1"/>
    <row r="386" ht="39" customHeight="1"/>
    <row r="387" ht="39" customHeight="1"/>
    <row r="388" ht="39" customHeight="1"/>
    <row r="389" ht="39" customHeight="1"/>
    <row r="390" ht="39" customHeight="1"/>
    <row r="391" ht="39" customHeight="1"/>
    <row r="392" ht="39" customHeight="1"/>
    <row r="393" ht="39" customHeight="1"/>
    <row r="394" ht="39" customHeight="1"/>
    <row r="395" ht="39" customHeight="1"/>
    <row r="396" ht="39" customHeight="1"/>
    <row r="397" ht="39" customHeight="1"/>
    <row r="398" ht="39" customHeight="1"/>
    <row r="399" ht="39" customHeight="1"/>
    <row r="400" ht="39" customHeight="1"/>
    <row r="401" ht="39" customHeight="1"/>
    <row r="402" ht="39" customHeight="1"/>
    <row r="403" ht="39" customHeight="1"/>
    <row r="404" ht="39" customHeight="1"/>
    <row r="405" ht="39" customHeight="1"/>
    <row r="406" ht="39" customHeight="1"/>
    <row r="407" ht="39" customHeight="1"/>
    <row r="408" ht="39" customHeight="1"/>
    <row r="409" ht="39" customHeight="1"/>
    <row r="410" ht="39" customHeight="1"/>
    <row r="411" ht="39" customHeight="1"/>
    <row r="412" ht="39" customHeight="1"/>
    <row r="413" ht="39" customHeight="1"/>
    <row r="414" ht="39" customHeight="1"/>
    <row r="415" ht="39" customHeight="1"/>
    <row r="416" ht="39" customHeight="1"/>
    <row r="417" ht="39" customHeight="1"/>
    <row r="418" ht="39" customHeight="1"/>
    <row r="419" ht="39" customHeight="1"/>
    <row r="420" ht="39" customHeight="1"/>
    <row r="421" ht="39" customHeight="1"/>
    <row r="422" ht="39" customHeight="1"/>
    <row r="423" ht="39" customHeight="1"/>
    <row r="424" ht="39" customHeight="1"/>
    <row r="425" ht="39" customHeight="1"/>
    <row r="426" ht="39" customHeight="1"/>
    <row r="427" ht="39" customHeight="1"/>
    <row r="428" ht="39" customHeight="1"/>
    <row r="429" ht="39" customHeight="1"/>
    <row r="430" ht="39" customHeight="1"/>
    <row r="431" ht="39" customHeight="1"/>
    <row r="432" ht="39" customHeight="1"/>
    <row r="433" ht="39" customHeight="1"/>
    <row r="434" ht="39" customHeight="1"/>
    <row r="435" ht="39" customHeight="1"/>
    <row r="436" ht="39" customHeight="1"/>
    <row r="437" ht="39" customHeight="1"/>
    <row r="438" ht="39" customHeight="1"/>
    <row r="439" ht="39" customHeight="1"/>
    <row r="440" ht="39" customHeight="1"/>
    <row r="441" ht="39" customHeight="1"/>
    <row r="442" ht="39" customHeight="1"/>
    <row r="443" ht="39" customHeight="1"/>
    <row r="444" ht="39" customHeight="1"/>
    <row r="445" ht="39" customHeight="1"/>
    <row r="446" ht="39" customHeight="1"/>
    <row r="447" ht="39" customHeight="1"/>
    <row r="448" ht="39" customHeight="1"/>
    <row r="449" ht="39" customHeight="1"/>
    <row r="450" ht="39" customHeight="1"/>
    <row r="451" ht="39" customHeight="1"/>
    <row r="452" ht="39" customHeight="1"/>
    <row r="453" ht="39" customHeight="1"/>
    <row r="454" ht="39" customHeight="1"/>
    <row r="455" ht="39" customHeight="1"/>
    <row r="456" ht="39" customHeight="1"/>
    <row r="457" ht="39" customHeight="1"/>
    <row r="458" ht="39" customHeight="1"/>
    <row r="459" ht="39" customHeight="1"/>
    <row r="460" ht="39" customHeight="1"/>
    <row r="461" ht="39" customHeight="1"/>
    <row r="462" ht="39" customHeight="1"/>
    <row r="463" ht="39" customHeight="1"/>
    <row r="464" ht="39" customHeight="1"/>
    <row r="465" ht="39" customHeight="1"/>
    <row r="466" ht="39" customHeight="1"/>
    <row r="467" ht="39" customHeight="1"/>
    <row r="468" ht="39" customHeight="1"/>
    <row r="469" ht="39" customHeight="1"/>
    <row r="470" ht="39" customHeight="1"/>
    <row r="471" ht="39" customHeight="1"/>
    <row r="472" ht="39" customHeight="1"/>
    <row r="473" ht="39" customHeight="1"/>
    <row r="474" ht="39" customHeight="1"/>
    <row r="475" ht="39" customHeight="1"/>
    <row r="476" ht="39" customHeight="1"/>
    <row r="477" ht="39" customHeight="1"/>
    <row r="478" ht="39" customHeight="1"/>
    <row r="479" ht="39" customHeight="1"/>
    <row r="480" ht="39" customHeight="1"/>
    <row r="481" ht="39" customHeight="1"/>
    <row r="482" ht="39" customHeight="1"/>
    <row r="483" ht="39" customHeight="1"/>
    <row r="484" ht="39" customHeight="1"/>
    <row r="485" ht="39" customHeight="1"/>
    <row r="486" ht="39" customHeight="1"/>
    <row r="487" ht="39" customHeight="1"/>
    <row r="488" ht="39" customHeight="1"/>
    <row r="489" ht="39" customHeight="1"/>
    <row r="490" ht="39" customHeight="1"/>
    <row r="491" ht="39" customHeight="1"/>
    <row r="492" ht="39" customHeight="1"/>
    <row r="493" ht="39" customHeight="1"/>
    <row r="494" ht="39" customHeight="1"/>
    <row r="495" ht="39" customHeight="1"/>
    <row r="496" ht="39" customHeight="1"/>
    <row r="497" ht="39" customHeight="1"/>
    <row r="498" ht="39" customHeight="1"/>
    <row r="499" ht="39" customHeight="1"/>
    <row r="500" ht="39" customHeight="1"/>
    <row r="501" ht="39" customHeight="1"/>
    <row r="502" ht="39" customHeight="1"/>
    <row r="503" ht="39" customHeight="1"/>
    <row r="504" ht="39" customHeight="1"/>
    <row r="505" ht="39" customHeight="1"/>
    <row r="506" ht="39" customHeight="1"/>
    <row r="507" ht="39" customHeight="1"/>
    <row r="508" ht="39" customHeight="1"/>
    <row r="509" ht="39" customHeight="1"/>
    <row r="510" ht="39" customHeight="1"/>
    <row r="511" ht="39" customHeight="1"/>
    <row r="512" ht="39" customHeight="1"/>
    <row r="513" ht="39" customHeight="1"/>
    <row r="514" ht="39" customHeight="1"/>
    <row r="515" ht="39" customHeight="1"/>
    <row r="516" ht="39" customHeight="1"/>
    <row r="517" ht="39" customHeight="1"/>
    <row r="518" ht="39" customHeight="1"/>
    <row r="519" ht="39" customHeight="1"/>
    <row r="520" ht="39" customHeight="1"/>
    <row r="521" ht="39" customHeight="1"/>
    <row r="522" ht="39" customHeight="1"/>
    <row r="523" ht="39" customHeight="1"/>
    <row r="524" ht="39" customHeight="1"/>
    <row r="525" ht="39" customHeight="1"/>
    <row r="526" ht="39" customHeight="1"/>
    <row r="527" ht="39" customHeight="1"/>
    <row r="528" ht="39" customHeight="1"/>
    <row r="529" ht="39" customHeight="1"/>
    <row r="530" ht="39" customHeight="1"/>
    <row r="531" ht="39" customHeight="1"/>
    <row r="532" ht="39" customHeight="1"/>
    <row r="533" ht="39" customHeight="1"/>
    <row r="534" ht="39" customHeight="1"/>
    <row r="535" ht="39" customHeight="1"/>
    <row r="536" ht="39" customHeight="1"/>
    <row r="537" ht="39" customHeight="1"/>
    <row r="538" ht="39" customHeight="1"/>
    <row r="539" ht="39" customHeight="1"/>
    <row r="540" ht="39" customHeight="1"/>
    <row r="541" ht="39" customHeight="1"/>
    <row r="542" ht="39" customHeight="1"/>
    <row r="543" ht="39" customHeight="1"/>
    <row r="544" ht="39" customHeight="1"/>
    <row r="545" ht="39" customHeight="1"/>
    <row r="546" ht="39" customHeight="1"/>
    <row r="547" ht="39" customHeight="1"/>
    <row r="548" ht="39" customHeight="1"/>
    <row r="549" ht="39" customHeight="1"/>
    <row r="550" ht="39" customHeight="1"/>
    <row r="551" ht="39" customHeight="1"/>
    <row r="552" ht="39" customHeight="1"/>
    <row r="553" ht="39" customHeight="1"/>
    <row r="554" ht="39" customHeight="1"/>
    <row r="555" ht="39" customHeight="1"/>
    <row r="556" ht="39" customHeight="1"/>
    <row r="557" ht="39" customHeight="1"/>
    <row r="558" ht="39" customHeight="1"/>
    <row r="559" ht="39" customHeight="1"/>
    <row r="560" ht="39" customHeight="1"/>
    <row r="561" ht="39" customHeight="1"/>
    <row r="562" ht="39" customHeight="1"/>
    <row r="563" ht="39" customHeight="1"/>
    <row r="564" ht="39" customHeight="1"/>
    <row r="565" ht="39" customHeight="1"/>
    <row r="566" ht="39" customHeight="1"/>
    <row r="567" ht="39" customHeight="1"/>
    <row r="568" ht="39" customHeight="1"/>
    <row r="569" ht="39" customHeight="1"/>
    <row r="570" ht="39" customHeight="1"/>
    <row r="571" ht="39" customHeight="1"/>
    <row r="572" ht="39" customHeight="1"/>
    <row r="573" ht="39" customHeight="1"/>
    <row r="574" ht="39" customHeight="1"/>
    <row r="575" ht="39" customHeight="1"/>
    <row r="576" ht="39" customHeight="1"/>
    <row r="577" ht="39" customHeight="1"/>
    <row r="578" ht="39" customHeight="1"/>
    <row r="579" ht="39" customHeight="1"/>
    <row r="580" ht="39" customHeight="1"/>
    <row r="581" ht="39" customHeight="1"/>
    <row r="582" ht="39" customHeight="1"/>
    <row r="583" ht="39" customHeight="1"/>
    <row r="584" ht="39" customHeight="1"/>
    <row r="585" ht="39" customHeight="1"/>
    <row r="586" ht="39" customHeight="1"/>
    <row r="587" ht="39" customHeight="1"/>
    <row r="588" ht="39" customHeight="1"/>
    <row r="589" ht="39" customHeight="1"/>
    <row r="590" ht="39" customHeight="1"/>
    <row r="591" ht="39" customHeight="1"/>
    <row r="592" ht="39" customHeight="1"/>
    <row r="593" ht="39" customHeight="1"/>
    <row r="594" ht="39" customHeight="1"/>
    <row r="595" ht="39" customHeight="1"/>
    <row r="596" ht="39" customHeight="1"/>
    <row r="597" ht="39" customHeight="1"/>
    <row r="598" ht="39" customHeight="1"/>
    <row r="599" ht="39" customHeight="1"/>
    <row r="600" ht="39" customHeight="1"/>
    <row r="601" ht="39" customHeight="1"/>
    <row r="602" ht="39" customHeight="1"/>
    <row r="603" ht="39" customHeight="1"/>
    <row r="604" ht="39" customHeight="1"/>
    <row r="605" ht="39" customHeight="1"/>
    <row r="606" ht="39" customHeight="1"/>
    <row r="607" ht="39" customHeight="1"/>
    <row r="608" ht="39" customHeight="1"/>
    <row r="609" ht="39" customHeight="1"/>
    <row r="610" ht="39" customHeight="1"/>
    <row r="611" ht="39" customHeight="1"/>
    <row r="612" ht="39" customHeight="1"/>
    <row r="613" ht="39" customHeight="1"/>
    <row r="614" ht="39" customHeight="1"/>
    <row r="615" ht="39" customHeight="1"/>
    <row r="616" ht="39" customHeight="1"/>
    <row r="617" ht="39" customHeight="1"/>
    <row r="618" ht="39" customHeight="1"/>
    <row r="619" ht="39" customHeight="1"/>
    <row r="620" ht="39" customHeight="1"/>
    <row r="621" ht="39" customHeight="1"/>
    <row r="622" ht="39" customHeight="1"/>
    <row r="623" ht="39" customHeight="1"/>
    <row r="624" ht="39" customHeight="1"/>
    <row r="625" ht="39" customHeight="1"/>
    <row r="626" ht="39" customHeight="1"/>
    <row r="627" ht="39" customHeight="1"/>
    <row r="628" ht="39" customHeight="1"/>
    <row r="629" ht="39" customHeight="1"/>
    <row r="630" ht="39" customHeight="1"/>
    <row r="631" ht="39" customHeight="1"/>
    <row r="632" ht="39" customHeight="1"/>
    <row r="633" ht="39" customHeight="1"/>
    <row r="634" ht="39" customHeight="1"/>
    <row r="635" ht="39" customHeight="1"/>
    <row r="636" ht="39" customHeight="1"/>
    <row r="637" ht="39" customHeight="1"/>
    <row r="638" ht="39" customHeight="1"/>
    <row r="639" ht="39" customHeight="1"/>
    <row r="640" ht="39" customHeight="1"/>
    <row r="641" ht="39" customHeight="1"/>
    <row r="642" ht="39" customHeight="1"/>
    <row r="643" ht="39" customHeight="1"/>
    <row r="644" ht="39" customHeight="1"/>
    <row r="645" ht="39" customHeight="1"/>
    <row r="646" ht="39" customHeight="1"/>
    <row r="647" ht="39" customHeight="1"/>
    <row r="648" ht="39" customHeight="1"/>
    <row r="649" ht="39" customHeight="1"/>
    <row r="650" ht="39" customHeight="1"/>
    <row r="651" ht="39" customHeight="1"/>
    <row r="652" ht="39" customHeight="1"/>
    <row r="653" ht="39" customHeight="1"/>
    <row r="654" ht="39" customHeight="1"/>
    <row r="655" ht="39" customHeight="1"/>
    <row r="656" ht="39" customHeight="1"/>
    <row r="657" ht="39" customHeight="1"/>
    <row r="658" ht="39" customHeight="1"/>
    <row r="659" ht="39" customHeight="1"/>
    <row r="660" ht="39" customHeight="1"/>
    <row r="661" ht="39" customHeight="1"/>
    <row r="662" ht="39" customHeight="1"/>
    <row r="663" ht="39" customHeight="1"/>
    <row r="664" ht="39" customHeight="1"/>
    <row r="665" ht="39" customHeight="1"/>
    <row r="666" ht="39" customHeight="1"/>
    <row r="667" ht="39" customHeight="1"/>
    <row r="668" ht="39" customHeight="1"/>
    <row r="669" ht="39" customHeight="1"/>
    <row r="670" ht="39" customHeight="1"/>
    <row r="671" ht="39" customHeight="1"/>
    <row r="672" ht="39" customHeight="1"/>
    <row r="673" ht="39" customHeight="1"/>
    <row r="674" ht="39" customHeight="1"/>
    <row r="675" ht="39" customHeight="1"/>
    <row r="676" ht="39" customHeight="1"/>
    <row r="677" ht="39" customHeight="1"/>
    <row r="678" ht="39" customHeight="1"/>
    <row r="679" ht="39" customHeight="1"/>
    <row r="680" ht="39" customHeight="1"/>
    <row r="681" ht="39" customHeight="1"/>
    <row r="682" ht="39" customHeight="1"/>
    <row r="683" ht="39" customHeight="1"/>
    <row r="684" ht="39" customHeight="1"/>
    <row r="685" ht="39" customHeight="1"/>
    <row r="686" ht="39" customHeight="1"/>
    <row r="687" ht="39" customHeight="1"/>
    <row r="688" ht="39" customHeight="1"/>
    <row r="689" ht="39" customHeight="1"/>
    <row r="690" ht="39" customHeight="1"/>
    <row r="691" ht="39" customHeight="1"/>
    <row r="692" ht="39" customHeight="1"/>
    <row r="693" ht="39" customHeight="1"/>
    <row r="694" ht="39" customHeight="1"/>
    <row r="695" ht="39" customHeight="1"/>
    <row r="696" ht="39" customHeight="1"/>
    <row r="697" ht="39" customHeight="1"/>
    <row r="698" ht="39" customHeight="1"/>
    <row r="699" ht="39" customHeight="1"/>
    <row r="700" ht="39" customHeight="1"/>
    <row r="701" ht="39" customHeight="1"/>
    <row r="702" ht="39" customHeight="1"/>
    <row r="703" ht="39" customHeight="1"/>
    <row r="704" ht="39" customHeight="1"/>
    <row r="705" ht="39" customHeight="1"/>
    <row r="706" ht="39" customHeight="1"/>
    <row r="707" ht="39" customHeight="1"/>
    <row r="708" ht="39" customHeight="1"/>
    <row r="709" ht="39" customHeight="1"/>
    <row r="710" ht="39" customHeight="1"/>
    <row r="711" ht="39" customHeight="1"/>
    <row r="712" ht="39" customHeight="1"/>
    <row r="713" ht="39" customHeight="1"/>
    <row r="714" ht="39" customHeight="1"/>
    <row r="715" ht="39" customHeight="1"/>
    <row r="716" ht="39" customHeight="1"/>
    <row r="717" ht="39" customHeight="1"/>
    <row r="718" ht="39" customHeight="1"/>
    <row r="719" ht="39" customHeight="1"/>
    <row r="720" ht="39" customHeight="1"/>
    <row r="721" ht="39" customHeight="1"/>
    <row r="722" ht="39" customHeight="1"/>
    <row r="723" ht="39" customHeight="1"/>
    <row r="724" ht="39" customHeight="1"/>
    <row r="725" ht="39" customHeight="1"/>
    <row r="726" ht="39" customHeight="1"/>
    <row r="727" ht="39" customHeight="1"/>
    <row r="728" ht="39" customHeight="1"/>
    <row r="729" ht="39" customHeight="1"/>
    <row r="730" ht="39" customHeight="1"/>
    <row r="731" ht="39" customHeight="1"/>
    <row r="732" ht="39" customHeight="1"/>
    <row r="733" ht="39" customHeight="1"/>
    <row r="734" ht="39" customHeight="1"/>
    <row r="735" ht="39" customHeight="1"/>
    <row r="736" ht="39" customHeight="1"/>
    <row r="737" ht="39" customHeight="1"/>
  </sheetData>
  <mergeCells count="2">
    <mergeCell ref="B1:E1"/>
    <mergeCell ref="K26:L26"/>
  </mergeCells>
  <conditionalFormatting sqref="C1:I1048576">
    <cfRule type="cellIs" dxfId="7" priority="8" stopIfTrue="1" operator="lessThan">
      <formula>70</formula>
    </cfRule>
  </conditionalFormatting>
  <conditionalFormatting sqref="C1:C1048576">
    <cfRule type="cellIs" dxfId="6" priority="7" stopIfTrue="1" operator="greaterThan">
      <formula>94</formula>
    </cfRule>
  </conditionalFormatting>
  <conditionalFormatting sqref="D1:D1048576">
    <cfRule type="cellIs" dxfId="5" priority="6" stopIfTrue="1" operator="greaterThan">
      <formula>139</formula>
    </cfRule>
  </conditionalFormatting>
  <conditionalFormatting sqref="E1:E1048576">
    <cfRule type="cellIs" dxfId="4" priority="5" stopIfTrue="1" operator="greaterThan">
      <formula>99</formula>
    </cfRule>
  </conditionalFormatting>
  <conditionalFormatting sqref="F1:F1048576">
    <cfRule type="cellIs" dxfId="3" priority="4" stopIfTrue="1" operator="greaterThan">
      <formula>139</formula>
    </cfRule>
  </conditionalFormatting>
  <conditionalFormatting sqref="G1:G1048576">
    <cfRule type="cellIs" dxfId="2" priority="3" stopIfTrue="1" operator="greaterThan">
      <formula>99</formula>
    </cfRule>
  </conditionalFormatting>
  <conditionalFormatting sqref="H1:H1048576">
    <cfRule type="cellIs" dxfId="1" priority="2" stopIfTrue="1" operator="greaterThan">
      <formula>139</formula>
    </cfRule>
  </conditionalFormatting>
  <conditionalFormatting sqref="I1:I1048576">
    <cfRule type="cellIs" dxfId="0" priority="1" stopIfTrue="1" operator="greaterThan">
      <formula>99</formula>
    </cfRule>
  </conditionalFormatting>
  <pageMargins left="0" right="0" top="0" bottom="0" header="0.511811023622047" footer="0.511811023622047"/>
  <pageSetup paperSize="9" orientation="portrait" horizontalDpi="300" verticalDpi="300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L2"/>
  <sheetViews>
    <sheetView zoomScaleNormal="100" workbookViewId="0">
      <selection activeCell="A8" sqref="A8"/>
    </sheetView>
  </sheetViews>
  <sheetFormatPr defaultColWidth="16.42578125" defaultRowHeight="12.75"/>
  <sheetData>
    <row r="1" spans="1:12" ht="51" customHeight="1">
      <c r="A1" s="13" t="s">
        <v>27</v>
      </c>
      <c r="B1" s="14" t="s">
        <v>28</v>
      </c>
      <c r="C1" s="14" t="s">
        <v>29</v>
      </c>
      <c r="D1" s="14" t="s">
        <v>30</v>
      </c>
      <c r="E1" s="13" t="s">
        <v>31</v>
      </c>
      <c r="F1" s="13" t="s">
        <v>32</v>
      </c>
      <c r="G1" s="14" t="s">
        <v>33</v>
      </c>
      <c r="H1" s="14" t="s">
        <v>34</v>
      </c>
      <c r="I1" s="14" t="s">
        <v>35</v>
      </c>
      <c r="J1" s="14" t="s">
        <v>36</v>
      </c>
      <c r="K1" s="14" t="s">
        <v>37</v>
      </c>
      <c r="L1" s="14" t="s">
        <v>38</v>
      </c>
    </row>
    <row r="2" spans="1:12" ht="61.5" customHeight="1"/>
  </sheetData>
  <pageMargins left="0.7" right="0.7" top="0.75" bottom="0.75" header="0.511811023622047" footer="0.511811023622047"/>
  <pageSetup paperSize="9" orientation="portrait" horizontalDpi="300" verticalDpi="30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>Isabela Santana de Aquino</cp:lastModifiedBy>
  <cp:revision>1400</cp:revision>
  <dcterms:created xsi:type="dcterms:W3CDTF">2019-05-23T12:46:50Z</dcterms:created>
  <dcterms:modified xsi:type="dcterms:W3CDTF">2025-12-30T17:11:50Z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HyperlinksChanged">
    <vt:bool>false</vt:bool>
  </property>
  <property fmtid="{D5CDD505-2E9C-101B-9397-08002B2CF9AE}" pid="3" name="LinksUpToDate">
    <vt:bool>false</vt:bool>
  </property>
  <property fmtid="{D5CDD505-2E9C-101B-9397-08002B2CF9AE}" pid="4" name="ProgId">
    <vt:lpwstr>Excel.Sheet</vt:lpwstr>
  </property>
  <property fmtid="{D5CDD505-2E9C-101B-9397-08002B2CF9AE}" pid="5" name="ScaleCrop">
    <vt:bool>false</vt:bool>
  </property>
  <property fmtid="{D5CDD505-2E9C-101B-9397-08002B2CF9AE}" pid="6" name="ShareDoc">
    <vt:bool>false</vt:bool>
  </property>
</Properties>
</file>