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398" documentId="11_5DF4F47FBEA8338BF5B5D1E611EACE657DFFA916" xr6:coauthVersionLast="47" xr6:coauthVersionMax="47" xr10:uidLastSave="{4293D96F-2754-4D48-924B-6D30617A50C3}"/>
  <bookViews>
    <workbookView xWindow="0" yWindow="0" windowWidth="16384" windowHeight="8192" tabRatio="500" xr2:uid="{00000000-000D-0000-FFFF-FFFF00000000}"/>
  </bookViews>
  <sheets>
    <sheet name="Controle glicêmico" sheetId="1" r:id="rId1"/>
    <sheet name="Plani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44" i="1" l="1"/>
  <c r="J22" i="1"/>
</calcChain>
</file>

<file path=xl/sharedStrings.xml><?xml version="1.0" encoding="utf-8"?>
<sst xmlns="http://schemas.openxmlformats.org/spreadsheetml/2006/main" count="222" uniqueCount="217">
  <si>
    <t>NOME:</t>
  </si>
  <si>
    <t>ANA PAULA DOS SANTOS DE OLIVEIRA</t>
  </si>
  <si>
    <t>Data de Nascimento:</t>
  </si>
  <si>
    <t>DUM</t>
  </si>
  <si>
    <t>Data</t>
  </si>
  <si>
    <t>Idade gestacional</t>
  </si>
  <si>
    <t>Jejum</t>
  </si>
  <si>
    <t>1h pós café</t>
  </si>
  <si>
    <t>antes do almoço</t>
  </si>
  <si>
    <t>1h pós almoço</t>
  </si>
  <si>
    <t>antes do jantar</t>
  </si>
  <si>
    <t>1h pós jantar</t>
  </si>
  <si>
    <t>3h da manhã</t>
  </si>
  <si>
    <t>ONLINE</t>
  </si>
  <si>
    <t>USG</t>
  </si>
  <si>
    <t>28/08/25</t>
  </si>
  <si>
    <t>11,3</t>
  </si>
  <si>
    <t>Planilha criada, por favor informar a DUM</t>
  </si>
  <si>
    <t>11,4</t>
  </si>
  <si>
    <t>USG 28/08/25 7 S e 5 D</t>
  </si>
  <si>
    <t>11,5</t>
  </si>
  <si>
    <t>11,6</t>
  </si>
  <si>
    <t>12,1</t>
  </si>
  <si>
    <t>12,2</t>
  </si>
  <si>
    <t>12,3</t>
  </si>
  <si>
    <t>aguardo valores</t>
  </si>
  <si>
    <t>12,4</t>
  </si>
  <si>
    <t>12,5</t>
  </si>
  <si>
    <t>12,6</t>
  </si>
  <si>
    <t>13,1</t>
  </si>
  <si>
    <t>13,2</t>
  </si>
  <si>
    <t>13,3</t>
  </si>
  <si>
    <t>2 semanas sem enviar - envio fora do prazo</t>
  </si>
  <si>
    <t>13,4</t>
  </si>
  <si>
    <t>recebi a planilha dia 8/10 primeira vez</t>
  </si>
  <si>
    <t>13,5</t>
  </si>
  <si>
    <t>13,6</t>
  </si>
  <si>
    <t>14,1</t>
  </si>
  <si>
    <t>14,2</t>
  </si>
  <si>
    <t>Ainda não recebi a receita para retirar insumos no SUS, só tinha um pouco e ta acabando (lanceta e fita)</t>
  </si>
  <si>
    <t>14,3</t>
  </si>
  <si>
    <t xml:space="preserve">em breve será agendado uma teleconsulta </t>
  </si>
  <si>
    <t>14,4</t>
  </si>
  <si>
    <t>14,5</t>
  </si>
  <si>
    <t>14,6</t>
  </si>
  <si>
    <t>15,1</t>
  </si>
  <si>
    <t>15,2</t>
  </si>
  <si>
    <t>15,3</t>
  </si>
  <si>
    <t>15,4</t>
  </si>
  <si>
    <t>15,5</t>
  </si>
  <si>
    <t>15,6</t>
  </si>
  <si>
    <t>16,1</t>
  </si>
  <si>
    <t>Paciente refere que estava sem insumos</t>
  </si>
  <si>
    <t>16,2</t>
  </si>
  <si>
    <t>16,3</t>
  </si>
  <si>
    <t xml:space="preserve">controles ok </t>
  </si>
  <si>
    <t>16,4</t>
  </si>
  <si>
    <t>16,5</t>
  </si>
  <si>
    <t>16,6</t>
  </si>
  <si>
    <t>17,1</t>
  </si>
  <si>
    <t>17,2</t>
  </si>
  <si>
    <t>17,3</t>
  </si>
  <si>
    <t>17,4</t>
  </si>
  <si>
    <t>Encaminho WhatsApp e e-mail informando sobre introdução de insulina para NPH 14/8/8. Proponho consulta com a enfermeira para orientação de uso. Nutri Carolina</t>
  </si>
  <si>
    <t>17,5</t>
  </si>
  <si>
    <t>17,6</t>
  </si>
  <si>
    <t>18,1</t>
  </si>
  <si>
    <t>18,2</t>
  </si>
  <si>
    <t>NPH 14/8/10</t>
  </si>
  <si>
    <t>18,3</t>
  </si>
  <si>
    <t>18,4</t>
  </si>
  <si>
    <t>18,5</t>
  </si>
  <si>
    <t>sem fitas</t>
  </si>
  <si>
    <t>18,6</t>
  </si>
  <si>
    <t>19,1</t>
  </si>
  <si>
    <t>19,2</t>
  </si>
  <si>
    <t>19,3</t>
  </si>
  <si>
    <t>Encaminho Whatsapp solicitando atualização do controle glicêmico. Enfª Isabela</t>
  </si>
  <si>
    <t>19,4</t>
  </si>
  <si>
    <t>19,5</t>
  </si>
  <si>
    <t>19,6</t>
  </si>
  <si>
    <t>20,1</t>
  </si>
  <si>
    <t>20,2</t>
  </si>
  <si>
    <t>20,3</t>
  </si>
  <si>
    <t>Encaminho Whatsapp solicitando atualização do controle glicêmico. Nutri Carolina</t>
  </si>
  <si>
    <t>20,4</t>
  </si>
  <si>
    <t>20,5</t>
  </si>
  <si>
    <t>20,6</t>
  </si>
  <si>
    <t>21,1</t>
  </si>
  <si>
    <t>21,2</t>
  </si>
  <si>
    <t>21,3</t>
  </si>
  <si>
    <t>Encaminho WhatsApp e e-mail informando ajuste de dosagem para  NPH 16/10/12. Enfª Isabela</t>
  </si>
  <si>
    <t>21,4</t>
  </si>
  <si>
    <t>21,5</t>
  </si>
  <si>
    <t>21,6</t>
  </si>
  <si>
    <t>22,1</t>
  </si>
  <si>
    <t>22,2</t>
  </si>
  <si>
    <t>22,3</t>
  </si>
  <si>
    <t>22,4</t>
  </si>
  <si>
    <t>22,5</t>
  </si>
  <si>
    <t>22,6</t>
  </si>
  <si>
    <t>23,1</t>
  </si>
  <si>
    <t>23,2</t>
  </si>
  <si>
    <t>23,3</t>
  </si>
  <si>
    <t>Encaminho WhatsApp e e-mail informando ajuste de dosagem para NPH 16/10/14 + R 2/2/2. Nutri Carolina</t>
  </si>
  <si>
    <t>23,4</t>
  </si>
  <si>
    <t>23,5</t>
  </si>
  <si>
    <t>23,6</t>
  </si>
  <si>
    <t>24,1</t>
  </si>
  <si>
    <t>24,2</t>
  </si>
  <si>
    <t>Encaminho WhatsApp e e-mail informando ajuste de dosagem para NPH 16/10/14 + R 4/2/2. Nutri Carolina</t>
  </si>
  <si>
    <t>24,3</t>
  </si>
  <si>
    <t>24,4</t>
  </si>
  <si>
    <t>24,5</t>
  </si>
  <si>
    <t>24,6</t>
  </si>
  <si>
    <t>25,1</t>
  </si>
  <si>
    <t>25,2</t>
  </si>
  <si>
    <t>25,3</t>
  </si>
  <si>
    <t>25,4</t>
  </si>
  <si>
    <t>25,5</t>
  </si>
  <si>
    <t>25,6</t>
  </si>
  <si>
    <t>26,1</t>
  </si>
  <si>
    <t>26,2</t>
  </si>
  <si>
    <t>26,3</t>
  </si>
  <si>
    <t>26,4</t>
  </si>
  <si>
    <t>26,5</t>
  </si>
  <si>
    <t>26,6</t>
  </si>
  <si>
    <t>27,1</t>
  </si>
  <si>
    <t>27,2</t>
  </si>
  <si>
    <t>27,3</t>
  </si>
  <si>
    <t>27,4</t>
  </si>
  <si>
    <t>27,5</t>
  </si>
  <si>
    <t>27,6</t>
  </si>
  <si>
    <t>28,1</t>
  </si>
  <si>
    <t>28,2</t>
  </si>
  <si>
    <t>28,3</t>
  </si>
  <si>
    <t>28,4</t>
  </si>
  <si>
    <t>28,5</t>
  </si>
  <si>
    <t>28,6</t>
  </si>
  <si>
    <t>29,1</t>
  </si>
  <si>
    <t>29,2</t>
  </si>
  <si>
    <t>29,3</t>
  </si>
  <si>
    <t>29,4</t>
  </si>
  <si>
    <t>29,5</t>
  </si>
  <si>
    <t>29,6</t>
  </si>
  <si>
    <t>30,1</t>
  </si>
  <si>
    <t>30,2</t>
  </si>
  <si>
    <t>30,3</t>
  </si>
  <si>
    <t>30,4</t>
  </si>
  <si>
    <t>30,5</t>
  </si>
  <si>
    <t>30,6</t>
  </si>
  <si>
    <t>31,1</t>
  </si>
  <si>
    <t>31,2</t>
  </si>
  <si>
    <t>31,3</t>
  </si>
  <si>
    <t>31,4</t>
  </si>
  <si>
    <t>31,5</t>
  </si>
  <si>
    <t>31,6</t>
  </si>
  <si>
    <t>32,1</t>
  </si>
  <si>
    <t>32,2</t>
  </si>
  <si>
    <t>32,3</t>
  </si>
  <si>
    <t>32,4</t>
  </si>
  <si>
    <t>32,5</t>
  </si>
  <si>
    <t>32,6</t>
  </si>
  <si>
    <t>33,1</t>
  </si>
  <si>
    <t>33,2</t>
  </si>
  <si>
    <t>33,3</t>
  </si>
  <si>
    <t>33,4</t>
  </si>
  <si>
    <t>33,5</t>
  </si>
  <si>
    <t>33,6</t>
  </si>
  <si>
    <t>34,1</t>
  </si>
  <si>
    <t>34,2</t>
  </si>
  <si>
    <t>34,3</t>
  </si>
  <si>
    <t>34,4</t>
  </si>
  <si>
    <t>34,5</t>
  </si>
  <si>
    <t>34,6</t>
  </si>
  <si>
    <t>35,1</t>
  </si>
  <si>
    <t>35,2</t>
  </si>
  <si>
    <t>35,3</t>
  </si>
  <si>
    <t>35,4</t>
  </si>
  <si>
    <t>35,5</t>
  </si>
  <si>
    <t>35,6</t>
  </si>
  <si>
    <t>36,1</t>
  </si>
  <si>
    <t>36,2</t>
  </si>
  <si>
    <t>36,3</t>
  </si>
  <si>
    <t>36,4</t>
  </si>
  <si>
    <t>36,5</t>
  </si>
  <si>
    <t>36,6</t>
  </si>
  <si>
    <t>37,1</t>
  </si>
  <si>
    <t>37,2</t>
  </si>
  <si>
    <t>37,3</t>
  </si>
  <si>
    <t>37,4</t>
  </si>
  <si>
    <t>37,5</t>
  </si>
  <si>
    <t>37,6</t>
  </si>
  <si>
    <t>38,1</t>
  </si>
  <si>
    <t>38,2</t>
  </si>
  <si>
    <t>38,3</t>
  </si>
  <si>
    <t>38,4</t>
  </si>
  <si>
    <t>38,5</t>
  </si>
  <si>
    <t>38,6</t>
  </si>
  <si>
    <t>39,1</t>
  </si>
  <si>
    <t>39,2</t>
  </si>
  <si>
    <t>39,3</t>
  </si>
  <si>
    <t>39,4</t>
  </si>
  <si>
    <t>39,5</t>
  </si>
  <si>
    <t>39,6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</si>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</sst>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"/>
  </numFmts>
  <fonts count="8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family val="2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name val="Arial"/>
      <charset val="1"/>
    </font>
    <font>
      <b/>
      <sz val="10"/>
      <color rgb="FF00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6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164" fontId="1" fillId="3" borderId="1" xfId="0" applyNumberFormat="1" applyFont="1" applyFill="1" applyBorder="1" applyAlignment="1">
      <alignment horizontal="center" vertical="center" wrapText="1"/>
    </xf>
    <xf numFmtId="165" fontId="3" fillId="3" borderId="2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4" borderId="0" xfId="0" applyFont="1" applyFill="1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top" wrapText="1"/>
    </xf>
    <xf numFmtId="165" fontId="2" fillId="3" borderId="6" xfId="0" applyNumberFormat="1" applyFont="1" applyFill="1" applyBorder="1" applyAlignment="1">
      <alignment horizontal="center" vertical="center" wrapText="1"/>
    </xf>
    <xf numFmtId="165" fontId="2" fillId="3" borderId="7" xfId="0" applyNumberFormat="1" applyFont="1" applyFill="1" applyBorder="1" applyAlignment="1">
      <alignment horizontal="center" vertical="center" wrapText="1"/>
    </xf>
    <xf numFmtId="165" fontId="2" fillId="3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8" displayName="Table_8" ref="K1:Q2" headerRowCount="0" totalsRowShown="0">
  <tableColumns count="7">
    <tableColumn id="1" xr3:uid="{00000000-0010-0000-0000-000001000000}" name="Column4"/>
    <tableColumn id="2" xr3:uid="{00000000-0010-0000-0000-000002000000}" name="Column5"/>
    <tableColumn id="3" xr3:uid="{00000000-0010-0000-0000-000003000000}" name="Column6"/>
    <tableColumn id="4" xr3:uid="{00000000-0010-0000-0000-000004000000}" name="Column7"/>
    <tableColumn id="5" xr3:uid="{00000000-0010-0000-0000-000005000000}" name="Column8"/>
    <tableColumn id="6" xr3:uid="{00000000-0010-0000-0000-000006000000}" name="Column9"/>
    <tableColumn id="7" xr3:uid="{00000000-0010-0000-0000-000007000000}" name="Column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M792"/>
  <sheetViews>
    <sheetView tabSelected="1" zoomScaleNormal="100" workbookViewId="0">
      <pane ySplit="2" topLeftCell="A92" activePane="bottomLeft" state="frozen"/>
      <selection pane="bottomLeft" activeCell="D100" sqref="D100"/>
    </sheetView>
  </sheetViews>
  <sheetFormatPr defaultColWidth="14.42578125" defaultRowHeight="12.75"/>
  <cols>
    <col min="1" max="2" width="14.42578125" style="1"/>
    <col min="3" max="3" width="13" style="1" customWidth="1"/>
    <col min="4" max="5" width="14.5703125" style="1" customWidth="1"/>
    <col min="6" max="7" width="13.85546875" style="1" customWidth="1"/>
    <col min="8" max="9" width="16.5703125" style="1" customWidth="1"/>
    <col min="10" max="10" width="24.5703125" style="1" customWidth="1"/>
    <col min="11" max="11" width="10.28515625" style="1" customWidth="1"/>
    <col min="12" max="13" width="14.42578125" style="1"/>
    <col min="14" max="14" width="11.140625" style="1" customWidth="1"/>
    <col min="15" max="15" width="14.85546875" style="1" customWidth="1"/>
    <col min="16" max="16" width="10.7109375" style="1" customWidth="1"/>
    <col min="17" max="1027" width="14.42578125" style="1"/>
  </cols>
  <sheetData>
    <row r="1" spans="1:1027" ht="41.25" customHeight="1">
      <c r="A1" s="2" t="s">
        <v>0</v>
      </c>
      <c r="B1" s="23" t="s">
        <v>1</v>
      </c>
      <c r="C1" s="24"/>
      <c r="D1" s="24"/>
      <c r="E1" s="24"/>
      <c r="F1" s="24"/>
      <c r="G1" s="24"/>
      <c r="H1" s="25"/>
      <c r="I1" s="2" t="s">
        <v>2</v>
      </c>
      <c r="J1" s="3">
        <v>31588</v>
      </c>
      <c r="K1" s="2" t="s">
        <v>3</v>
      </c>
      <c r="L1" s="3">
        <v>45815</v>
      </c>
      <c r="M1" s="4"/>
      <c r="N1" s="4"/>
      <c r="O1" s="4"/>
      <c r="P1" s="4"/>
      <c r="Q1" s="5"/>
      <c r="R1" s="6"/>
      <c r="S1" s="6"/>
      <c r="T1" s="6"/>
      <c r="U1" s="6"/>
      <c r="V1" s="6"/>
      <c r="W1" s="6"/>
      <c r="X1" s="6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  <c r="ND1" s="7"/>
      <c r="NE1" s="7"/>
      <c r="NF1" s="7"/>
      <c r="NG1" s="7"/>
      <c r="NH1" s="7"/>
      <c r="NI1" s="7"/>
      <c r="NJ1" s="7"/>
      <c r="NK1" s="7"/>
      <c r="NL1" s="7"/>
      <c r="NM1" s="7"/>
      <c r="NN1" s="7"/>
      <c r="NO1" s="7"/>
      <c r="NP1" s="7"/>
      <c r="NQ1" s="7"/>
      <c r="NR1" s="7"/>
      <c r="NS1" s="7"/>
      <c r="NT1" s="7"/>
      <c r="NU1" s="7"/>
      <c r="NV1" s="7"/>
      <c r="NW1" s="7"/>
      <c r="NX1" s="7"/>
      <c r="NY1" s="7"/>
      <c r="NZ1" s="7"/>
      <c r="OA1" s="7"/>
      <c r="OB1" s="7"/>
      <c r="OC1" s="7"/>
      <c r="OD1" s="7"/>
      <c r="OE1" s="7"/>
      <c r="OF1" s="7"/>
      <c r="OG1" s="7"/>
      <c r="OH1" s="7"/>
      <c r="OI1" s="7"/>
      <c r="OJ1" s="7"/>
      <c r="OK1" s="7"/>
      <c r="OL1" s="7"/>
      <c r="OM1" s="7"/>
      <c r="ON1" s="7"/>
      <c r="OO1" s="7"/>
      <c r="OP1" s="7"/>
      <c r="OQ1" s="7"/>
      <c r="OR1" s="7"/>
      <c r="OS1" s="7"/>
      <c r="OT1" s="7"/>
      <c r="OU1" s="7"/>
      <c r="OV1" s="7"/>
      <c r="OW1" s="7"/>
      <c r="OX1" s="7"/>
      <c r="OY1" s="7"/>
      <c r="OZ1" s="7"/>
      <c r="PA1" s="7"/>
      <c r="PB1" s="7"/>
      <c r="PC1" s="7"/>
      <c r="PD1" s="7"/>
      <c r="PE1" s="7"/>
      <c r="PF1" s="7"/>
      <c r="PG1" s="7"/>
      <c r="PH1" s="7"/>
      <c r="PI1" s="7"/>
      <c r="PJ1" s="7"/>
      <c r="PK1" s="7"/>
      <c r="PL1" s="7"/>
      <c r="PM1" s="7"/>
      <c r="PN1" s="7"/>
      <c r="PO1" s="7"/>
      <c r="PP1" s="7"/>
      <c r="PQ1" s="7"/>
      <c r="PR1" s="7"/>
      <c r="PS1" s="7"/>
      <c r="PT1" s="7"/>
      <c r="PU1" s="7"/>
      <c r="PV1" s="7"/>
      <c r="PW1" s="7"/>
      <c r="PX1" s="7"/>
      <c r="PY1" s="7"/>
      <c r="PZ1" s="7"/>
      <c r="QA1" s="7"/>
      <c r="QB1" s="7"/>
      <c r="QC1" s="7"/>
      <c r="QD1" s="7"/>
      <c r="QE1" s="7"/>
      <c r="QF1" s="7"/>
      <c r="QG1" s="7"/>
      <c r="QH1" s="7"/>
      <c r="QI1" s="7"/>
      <c r="QJ1" s="7"/>
      <c r="QK1" s="7"/>
      <c r="QL1" s="7"/>
      <c r="QM1" s="7"/>
      <c r="QN1" s="7"/>
      <c r="QO1" s="7"/>
      <c r="QP1" s="7"/>
      <c r="QQ1" s="7"/>
      <c r="QR1" s="7"/>
      <c r="QS1" s="7"/>
      <c r="QT1" s="7"/>
      <c r="QU1" s="7"/>
      <c r="QV1" s="7"/>
      <c r="QW1" s="7"/>
      <c r="QX1" s="7"/>
      <c r="QY1" s="7"/>
      <c r="QZ1" s="7"/>
      <c r="RA1" s="7"/>
      <c r="RB1" s="7"/>
      <c r="RC1" s="7"/>
      <c r="RD1" s="7"/>
      <c r="RE1" s="7"/>
      <c r="RF1" s="7"/>
      <c r="RG1" s="7"/>
      <c r="RH1" s="7"/>
      <c r="RI1" s="7"/>
      <c r="RJ1" s="7"/>
      <c r="RK1" s="7"/>
      <c r="RL1" s="7"/>
      <c r="RM1" s="7"/>
      <c r="RN1" s="7"/>
      <c r="RO1" s="7"/>
      <c r="RP1" s="7"/>
      <c r="RQ1" s="7"/>
      <c r="RR1" s="7"/>
      <c r="RS1" s="7"/>
      <c r="RT1" s="7"/>
      <c r="RU1" s="7"/>
      <c r="RV1" s="7"/>
      <c r="RW1" s="7"/>
      <c r="RX1" s="7"/>
      <c r="RY1" s="7"/>
      <c r="RZ1" s="7"/>
      <c r="SA1" s="7"/>
      <c r="SB1" s="7"/>
      <c r="SC1" s="7"/>
      <c r="SD1" s="7"/>
      <c r="SE1" s="7"/>
      <c r="SF1" s="7"/>
      <c r="SG1" s="7"/>
      <c r="SH1" s="7"/>
      <c r="SI1" s="7"/>
      <c r="SJ1" s="7"/>
      <c r="SK1" s="7"/>
      <c r="SL1" s="7"/>
      <c r="SM1" s="7"/>
      <c r="SN1" s="7"/>
      <c r="SO1" s="7"/>
      <c r="SP1" s="7"/>
      <c r="SQ1" s="7"/>
      <c r="SR1" s="7"/>
      <c r="SS1" s="7"/>
      <c r="ST1" s="7"/>
      <c r="SU1" s="7"/>
      <c r="SV1" s="7"/>
      <c r="SW1" s="7"/>
      <c r="SX1" s="7"/>
      <c r="SY1" s="7"/>
      <c r="SZ1" s="7"/>
      <c r="TA1" s="7"/>
      <c r="TB1" s="7"/>
      <c r="TC1" s="7"/>
      <c r="TD1" s="7"/>
      <c r="TE1" s="7"/>
      <c r="TF1" s="7"/>
      <c r="TG1" s="7"/>
      <c r="TH1" s="7"/>
      <c r="TI1" s="7"/>
      <c r="TJ1" s="7"/>
      <c r="TK1" s="7"/>
      <c r="TL1" s="7"/>
      <c r="TM1" s="7"/>
      <c r="TN1" s="7"/>
      <c r="TO1" s="7"/>
      <c r="TP1" s="7"/>
      <c r="TQ1" s="7"/>
      <c r="TR1" s="7"/>
      <c r="TS1" s="7"/>
      <c r="TT1" s="7"/>
      <c r="TU1" s="7"/>
      <c r="TV1" s="7"/>
      <c r="TW1" s="7"/>
      <c r="TX1" s="7"/>
      <c r="TY1" s="7"/>
      <c r="TZ1" s="7"/>
      <c r="UA1" s="7"/>
      <c r="UB1" s="7"/>
      <c r="UC1" s="7"/>
      <c r="UD1" s="7"/>
      <c r="UE1" s="7"/>
      <c r="UF1" s="7"/>
      <c r="UG1" s="7"/>
      <c r="UH1" s="7"/>
      <c r="UI1" s="7"/>
      <c r="UJ1" s="7"/>
      <c r="UK1" s="7"/>
      <c r="UL1" s="7"/>
      <c r="UM1" s="7"/>
      <c r="UN1" s="7"/>
      <c r="UO1" s="7"/>
      <c r="UP1" s="7"/>
      <c r="UQ1" s="7"/>
      <c r="UR1" s="7"/>
      <c r="US1" s="7"/>
      <c r="UT1" s="7"/>
      <c r="UU1" s="7"/>
      <c r="UV1" s="7"/>
      <c r="UW1" s="7"/>
      <c r="UX1" s="7"/>
      <c r="UY1" s="7"/>
      <c r="UZ1" s="7"/>
      <c r="VA1" s="7"/>
      <c r="VB1" s="7"/>
      <c r="VC1" s="7"/>
      <c r="VD1" s="7"/>
      <c r="VE1" s="7"/>
      <c r="VF1" s="7"/>
      <c r="VG1" s="7"/>
      <c r="VH1" s="7"/>
      <c r="VI1" s="7"/>
      <c r="VJ1" s="7"/>
      <c r="VK1" s="7"/>
      <c r="VL1" s="7"/>
      <c r="VM1" s="7"/>
      <c r="VN1" s="7"/>
      <c r="VO1" s="7"/>
      <c r="VP1" s="7"/>
      <c r="VQ1" s="7"/>
      <c r="VR1" s="7"/>
      <c r="VS1" s="7"/>
      <c r="VT1" s="7"/>
      <c r="VU1" s="7"/>
      <c r="VV1" s="7"/>
      <c r="VW1" s="7"/>
      <c r="VX1" s="7"/>
      <c r="VY1" s="7"/>
      <c r="VZ1" s="7"/>
      <c r="WA1" s="7"/>
      <c r="WB1" s="7"/>
      <c r="WC1" s="7"/>
      <c r="WD1" s="7"/>
      <c r="WE1" s="7"/>
      <c r="WF1" s="7"/>
      <c r="WG1" s="7"/>
      <c r="WH1" s="7"/>
      <c r="WI1" s="7"/>
      <c r="WJ1" s="7"/>
      <c r="WK1" s="7"/>
      <c r="WL1" s="7"/>
      <c r="WM1" s="7"/>
      <c r="WN1" s="7"/>
      <c r="WO1" s="7"/>
      <c r="WP1" s="7"/>
      <c r="WQ1" s="7"/>
      <c r="WR1" s="7"/>
      <c r="WS1" s="7"/>
      <c r="WT1" s="7"/>
      <c r="WU1" s="7"/>
      <c r="WV1" s="7"/>
      <c r="WW1" s="7"/>
      <c r="WX1" s="7"/>
      <c r="WY1" s="7"/>
      <c r="WZ1" s="7"/>
      <c r="XA1" s="7"/>
      <c r="XB1" s="7"/>
      <c r="XC1" s="7"/>
      <c r="XD1" s="7"/>
      <c r="XE1" s="7"/>
      <c r="XF1" s="7"/>
      <c r="XG1" s="7"/>
      <c r="XH1" s="7"/>
      <c r="XI1" s="7"/>
      <c r="XJ1" s="7"/>
      <c r="XK1" s="7"/>
      <c r="XL1" s="7"/>
      <c r="XM1" s="7"/>
      <c r="XN1" s="7"/>
      <c r="XO1" s="7"/>
      <c r="XP1" s="7"/>
      <c r="XQ1" s="7"/>
      <c r="XR1" s="7"/>
      <c r="XS1" s="7"/>
      <c r="XT1" s="7"/>
      <c r="XU1" s="7"/>
      <c r="XV1" s="7"/>
      <c r="XW1" s="7"/>
      <c r="XX1" s="7"/>
      <c r="XY1" s="7"/>
      <c r="XZ1" s="7"/>
      <c r="YA1" s="7"/>
      <c r="YB1" s="7"/>
      <c r="YC1" s="7"/>
      <c r="YD1" s="7"/>
      <c r="YE1" s="7"/>
      <c r="YF1" s="7"/>
      <c r="YG1" s="7"/>
      <c r="YH1" s="7"/>
      <c r="YI1" s="7"/>
      <c r="YJ1" s="7"/>
      <c r="YK1" s="7"/>
      <c r="YL1" s="7"/>
      <c r="YM1" s="7"/>
      <c r="YN1" s="7"/>
      <c r="YO1" s="7"/>
      <c r="YP1" s="7"/>
      <c r="YQ1" s="7"/>
      <c r="YR1" s="7"/>
      <c r="YS1" s="7"/>
      <c r="YT1" s="7"/>
      <c r="YU1" s="7"/>
      <c r="YV1" s="7"/>
      <c r="YW1" s="7"/>
      <c r="YX1" s="7"/>
      <c r="YY1" s="7"/>
      <c r="YZ1" s="7"/>
      <c r="ZA1" s="7"/>
      <c r="ZB1" s="7"/>
      <c r="ZC1" s="7"/>
      <c r="ZD1" s="7"/>
      <c r="ZE1" s="7"/>
      <c r="ZF1" s="7"/>
      <c r="ZG1" s="7"/>
      <c r="ZH1" s="7"/>
      <c r="ZI1" s="7"/>
      <c r="ZJ1" s="7"/>
      <c r="ZK1" s="7"/>
      <c r="ZL1" s="7"/>
      <c r="ZM1" s="7"/>
      <c r="ZN1" s="7"/>
      <c r="ZO1" s="7"/>
      <c r="ZP1" s="7"/>
      <c r="ZQ1" s="7"/>
      <c r="ZR1" s="7"/>
      <c r="ZS1" s="7"/>
      <c r="ZT1" s="7"/>
      <c r="ZU1" s="7"/>
      <c r="ZV1" s="7"/>
      <c r="ZW1" s="7"/>
      <c r="ZX1" s="7"/>
      <c r="ZY1" s="7"/>
      <c r="ZZ1" s="7"/>
      <c r="AAA1" s="7"/>
      <c r="AAB1" s="7"/>
      <c r="AAC1" s="7"/>
      <c r="AAD1" s="7"/>
      <c r="AAE1" s="7"/>
      <c r="AAF1" s="7"/>
      <c r="AAG1" s="7"/>
      <c r="AAH1" s="7"/>
      <c r="AAI1" s="7"/>
      <c r="AAJ1" s="7"/>
      <c r="AAK1" s="7"/>
      <c r="AAL1" s="7"/>
      <c r="AAM1" s="7"/>
      <c r="AAN1" s="7"/>
      <c r="AAO1" s="7"/>
      <c r="AAP1" s="7"/>
      <c r="AAQ1" s="7"/>
      <c r="AAR1" s="7"/>
      <c r="AAS1" s="7"/>
      <c r="AAT1" s="7"/>
      <c r="AAU1" s="7"/>
      <c r="AAV1" s="7"/>
      <c r="AAW1" s="7"/>
      <c r="AAX1" s="7"/>
      <c r="AAY1" s="7"/>
      <c r="AAZ1" s="7"/>
      <c r="ABA1" s="7"/>
      <c r="ABB1" s="7"/>
      <c r="ABC1" s="7"/>
      <c r="ABD1" s="7"/>
      <c r="ABE1" s="7"/>
      <c r="ABF1" s="7"/>
      <c r="ABG1" s="7"/>
      <c r="ABH1" s="7"/>
      <c r="ABI1" s="7"/>
      <c r="ABJ1" s="7"/>
      <c r="ABK1" s="7"/>
      <c r="ABL1" s="7"/>
      <c r="ABM1" s="7"/>
      <c r="ABN1" s="7"/>
      <c r="ABO1" s="7"/>
      <c r="ABP1" s="7"/>
      <c r="ABQ1" s="7"/>
      <c r="ABR1" s="7"/>
      <c r="ABS1" s="7"/>
      <c r="ABT1" s="7"/>
      <c r="ABU1" s="7"/>
      <c r="ABV1" s="7"/>
      <c r="ABW1" s="7"/>
      <c r="ABX1" s="7"/>
      <c r="ABY1" s="7"/>
      <c r="ABZ1" s="7"/>
      <c r="ACA1" s="7"/>
      <c r="ACB1" s="7"/>
      <c r="ACC1" s="7"/>
      <c r="ACD1" s="7"/>
      <c r="ACE1" s="7"/>
      <c r="ACF1" s="7"/>
      <c r="ACG1" s="7"/>
      <c r="ACH1" s="7"/>
      <c r="ACI1" s="7"/>
      <c r="ACJ1" s="7"/>
      <c r="ACK1" s="7"/>
      <c r="ACL1" s="7"/>
      <c r="ACM1" s="7"/>
      <c r="ACN1" s="7"/>
      <c r="ACO1" s="7"/>
      <c r="ACP1" s="7"/>
      <c r="ACQ1" s="7"/>
      <c r="ACR1" s="7"/>
      <c r="ACS1" s="7"/>
      <c r="ACT1" s="7"/>
      <c r="ACU1" s="7"/>
      <c r="ACV1" s="7"/>
      <c r="ACW1" s="7"/>
      <c r="ACX1" s="7"/>
      <c r="ACY1" s="7"/>
      <c r="ACZ1" s="7"/>
      <c r="ADA1" s="7"/>
      <c r="ADB1" s="7"/>
      <c r="ADC1" s="7"/>
      <c r="ADD1" s="7"/>
      <c r="ADE1" s="7"/>
      <c r="ADF1" s="7"/>
      <c r="ADG1" s="7"/>
      <c r="ADH1" s="7"/>
      <c r="ADI1" s="7"/>
      <c r="ADJ1" s="7"/>
      <c r="ADK1" s="7"/>
      <c r="ADL1" s="7"/>
      <c r="ADM1" s="7"/>
      <c r="ADN1" s="7"/>
      <c r="ADO1" s="7"/>
      <c r="ADP1" s="7"/>
      <c r="ADQ1" s="7"/>
      <c r="ADR1" s="7"/>
      <c r="ADS1" s="7"/>
      <c r="ADT1" s="7"/>
      <c r="ADU1" s="7"/>
      <c r="ADV1" s="7"/>
      <c r="ADW1" s="7"/>
      <c r="ADX1" s="7"/>
      <c r="ADY1" s="7"/>
      <c r="ADZ1" s="7"/>
      <c r="AEA1" s="7"/>
      <c r="AEB1" s="7"/>
      <c r="AEC1" s="7"/>
      <c r="AED1" s="7"/>
      <c r="AEE1" s="7"/>
      <c r="AEF1" s="7"/>
      <c r="AEG1" s="7"/>
      <c r="AEH1" s="7"/>
      <c r="AEI1" s="7"/>
      <c r="AEJ1" s="7"/>
      <c r="AEK1" s="7"/>
      <c r="AEL1" s="7"/>
      <c r="AEM1" s="7"/>
      <c r="AEN1" s="7"/>
      <c r="AEO1" s="7"/>
      <c r="AEP1" s="7"/>
      <c r="AEQ1" s="7"/>
      <c r="AER1" s="7"/>
      <c r="AES1" s="7"/>
      <c r="AET1" s="7"/>
      <c r="AEU1" s="7"/>
      <c r="AEV1" s="7"/>
      <c r="AEW1" s="7"/>
      <c r="AEX1" s="7"/>
      <c r="AEY1" s="7"/>
      <c r="AEZ1" s="7"/>
      <c r="AFA1" s="7"/>
      <c r="AFB1" s="7"/>
      <c r="AFC1" s="7"/>
      <c r="AFD1" s="7"/>
      <c r="AFE1" s="7"/>
      <c r="AFF1" s="7"/>
      <c r="AFG1" s="7"/>
      <c r="AFH1" s="7"/>
      <c r="AFI1" s="7"/>
      <c r="AFJ1" s="7"/>
      <c r="AFK1" s="7"/>
      <c r="AFL1" s="7"/>
      <c r="AFM1" s="7"/>
      <c r="AFN1" s="7"/>
      <c r="AFO1" s="7"/>
      <c r="AFP1" s="7"/>
      <c r="AFQ1" s="7"/>
      <c r="AFR1" s="7"/>
      <c r="AFS1" s="7"/>
      <c r="AFT1" s="7"/>
      <c r="AFU1" s="7"/>
      <c r="AFV1" s="7"/>
      <c r="AFW1" s="7"/>
      <c r="AFX1" s="7"/>
      <c r="AFY1" s="7"/>
      <c r="AFZ1" s="7"/>
      <c r="AGA1" s="7"/>
      <c r="AGB1" s="7"/>
      <c r="AGC1" s="7"/>
      <c r="AGD1" s="7"/>
      <c r="AGE1" s="7"/>
      <c r="AGF1" s="7"/>
      <c r="AGG1" s="7"/>
      <c r="AGH1" s="7"/>
      <c r="AGI1" s="7"/>
      <c r="AGJ1" s="7"/>
      <c r="AGK1" s="7"/>
      <c r="AGL1" s="7"/>
      <c r="AGM1" s="7"/>
      <c r="AGN1" s="7"/>
      <c r="AGO1" s="7"/>
      <c r="AGP1" s="7"/>
      <c r="AGQ1" s="7"/>
      <c r="AGR1" s="7"/>
      <c r="AGS1" s="7"/>
      <c r="AGT1" s="7"/>
      <c r="AGU1" s="7"/>
      <c r="AGV1" s="7"/>
      <c r="AGW1" s="7"/>
      <c r="AGX1" s="7"/>
      <c r="AGY1" s="7"/>
      <c r="AGZ1" s="7"/>
      <c r="AHA1" s="7"/>
      <c r="AHB1" s="7"/>
      <c r="AHC1" s="7"/>
      <c r="AHD1" s="7"/>
      <c r="AHE1" s="7"/>
      <c r="AHF1" s="7"/>
      <c r="AHG1" s="7"/>
      <c r="AHH1" s="7"/>
      <c r="AHI1" s="7"/>
      <c r="AHJ1" s="7"/>
      <c r="AHK1" s="7"/>
      <c r="AHL1" s="7"/>
      <c r="AHM1" s="7"/>
      <c r="AHN1" s="7"/>
      <c r="AHO1" s="7"/>
      <c r="AHP1" s="7"/>
      <c r="AHQ1" s="7"/>
      <c r="AHR1" s="7"/>
      <c r="AHS1" s="7"/>
      <c r="AHT1" s="7"/>
      <c r="AHU1" s="7"/>
      <c r="AHV1" s="7"/>
      <c r="AHW1" s="7"/>
      <c r="AHX1" s="7"/>
      <c r="AHY1" s="7"/>
      <c r="AHZ1" s="7"/>
      <c r="AIA1" s="7"/>
      <c r="AIB1" s="7"/>
      <c r="AIC1" s="7"/>
      <c r="AID1" s="7"/>
      <c r="AIE1" s="7"/>
      <c r="AIF1" s="7"/>
      <c r="AIG1" s="7"/>
      <c r="AIH1" s="7"/>
      <c r="AII1" s="7"/>
      <c r="AIJ1" s="7"/>
      <c r="AIK1" s="7"/>
      <c r="AIL1" s="7"/>
      <c r="AIM1" s="7"/>
      <c r="AIN1" s="7"/>
      <c r="AIO1" s="7"/>
      <c r="AIP1" s="7"/>
      <c r="AIQ1" s="7"/>
      <c r="AIR1" s="7"/>
      <c r="AIS1" s="7"/>
      <c r="AIT1" s="7"/>
      <c r="AIU1" s="7"/>
      <c r="AIV1" s="7"/>
      <c r="AIW1" s="7"/>
      <c r="AIX1" s="7"/>
      <c r="AIY1" s="7"/>
      <c r="AIZ1" s="7"/>
      <c r="AJA1" s="7"/>
      <c r="AJB1" s="7"/>
      <c r="AJC1" s="7"/>
      <c r="AJD1" s="7"/>
      <c r="AJE1" s="7"/>
      <c r="AJF1" s="7"/>
      <c r="AJG1" s="7"/>
      <c r="AJH1" s="7"/>
      <c r="AJI1" s="7"/>
      <c r="AJJ1" s="7"/>
      <c r="AJK1" s="7"/>
      <c r="AJL1" s="7"/>
      <c r="AJM1" s="7"/>
      <c r="AJN1" s="7"/>
      <c r="AJO1" s="7"/>
      <c r="AJP1" s="7"/>
      <c r="AJQ1" s="7"/>
      <c r="AJR1" s="7"/>
      <c r="AJS1" s="7"/>
      <c r="AJT1" s="7"/>
      <c r="AJU1" s="7"/>
      <c r="AJV1" s="7"/>
      <c r="AJW1" s="7"/>
      <c r="AJX1" s="7"/>
      <c r="AJY1" s="7"/>
      <c r="AJZ1" s="7"/>
      <c r="AKA1" s="7"/>
      <c r="AKB1" s="7"/>
      <c r="AKC1" s="7"/>
      <c r="AKD1" s="7"/>
      <c r="AKE1" s="7"/>
      <c r="AKF1" s="7"/>
      <c r="AKG1" s="7"/>
      <c r="AKH1" s="7"/>
      <c r="AKI1" s="7"/>
      <c r="AKJ1" s="7"/>
      <c r="AKK1" s="7"/>
      <c r="AKL1" s="7"/>
      <c r="AKM1" s="7"/>
      <c r="AKN1" s="7"/>
      <c r="AKO1" s="7"/>
      <c r="AKP1" s="7"/>
      <c r="AKQ1" s="7"/>
      <c r="AKR1" s="7"/>
      <c r="AKS1" s="7"/>
      <c r="AKT1" s="7"/>
      <c r="AKU1" s="7"/>
      <c r="AKV1" s="7"/>
      <c r="AKW1" s="7"/>
      <c r="AKX1" s="7"/>
      <c r="AKY1" s="7"/>
      <c r="AKZ1" s="7"/>
      <c r="ALA1" s="7"/>
      <c r="ALB1" s="7"/>
      <c r="ALC1" s="7"/>
      <c r="ALD1" s="7"/>
      <c r="ALE1" s="7"/>
      <c r="ALF1" s="7"/>
      <c r="ALG1" s="7"/>
      <c r="ALH1" s="7"/>
      <c r="ALI1" s="7"/>
      <c r="ALJ1" s="7"/>
      <c r="ALK1" s="7"/>
      <c r="ALL1" s="7"/>
      <c r="ALM1" s="7"/>
      <c r="ALN1" s="7"/>
      <c r="ALO1" s="7"/>
      <c r="ALP1" s="7"/>
      <c r="ALQ1" s="7"/>
      <c r="ALR1" s="7"/>
      <c r="ALS1" s="7"/>
      <c r="ALT1" s="7"/>
      <c r="ALU1" s="7"/>
      <c r="ALV1" s="7"/>
      <c r="ALW1" s="7"/>
      <c r="ALX1" s="7"/>
      <c r="ALY1" s="7"/>
      <c r="ALZ1" s="7"/>
      <c r="AMA1" s="7"/>
      <c r="AMB1" s="7"/>
      <c r="AMC1" s="7"/>
      <c r="AMD1" s="7"/>
      <c r="AME1" s="7"/>
      <c r="AMF1" s="7"/>
      <c r="AMG1" s="7"/>
      <c r="AMH1" s="7"/>
      <c r="AMI1" s="7"/>
      <c r="AMJ1" s="7"/>
      <c r="AMK1" s="7"/>
      <c r="AML1" s="7"/>
      <c r="AMM1" s="7"/>
    </row>
    <row r="2" spans="1:1027" ht="39" customHeight="1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8" t="s">
        <v>13</v>
      </c>
      <c r="K2" s="2" t="s">
        <v>14</v>
      </c>
      <c r="L2" s="4" t="s">
        <v>15</v>
      </c>
      <c r="M2" s="9">
        <v>7</v>
      </c>
      <c r="N2" s="9">
        <v>5</v>
      </c>
      <c r="O2" s="4"/>
      <c r="P2" s="4"/>
      <c r="Q2" s="6"/>
      <c r="R2" s="6"/>
      <c r="S2" s="6"/>
      <c r="T2" s="6"/>
      <c r="U2" s="6"/>
      <c r="V2" s="6"/>
      <c r="W2" s="6"/>
      <c r="X2" s="6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/>
      <c r="QV2" s="7"/>
      <c r="QW2" s="7"/>
      <c r="QX2" s="7"/>
      <c r="QY2" s="7"/>
      <c r="QZ2" s="7"/>
      <c r="RA2" s="7"/>
      <c r="RB2" s="7"/>
      <c r="RC2" s="7"/>
      <c r="RD2" s="7"/>
      <c r="RE2" s="7"/>
      <c r="RF2" s="7"/>
      <c r="RG2" s="7"/>
      <c r="RH2" s="7"/>
      <c r="RI2" s="7"/>
      <c r="RJ2" s="7"/>
      <c r="RK2" s="7"/>
      <c r="RL2" s="7"/>
      <c r="RM2" s="7"/>
      <c r="RN2" s="7"/>
      <c r="RO2" s="7"/>
      <c r="RP2" s="7"/>
      <c r="RQ2" s="7"/>
      <c r="RR2" s="7"/>
      <c r="RS2" s="7"/>
      <c r="RT2" s="7"/>
      <c r="RU2" s="7"/>
      <c r="RV2" s="7"/>
      <c r="RW2" s="7"/>
      <c r="RX2" s="7"/>
      <c r="RY2" s="7"/>
      <c r="RZ2" s="7"/>
      <c r="SA2" s="7"/>
      <c r="SB2" s="7"/>
      <c r="SC2" s="7"/>
      <c r="SD2" s="7"/>
      <c r="SE2" s="7"/>
      <c r="SF2" s="7"/>
      <c r="SG2" s="7"/>
      <c r="SH2" s="7"/>
      <c r="SI2" s="7"/>
      <c r="SJ2" s="7"/>
      <c r="SK2" s="7"/>
      <c r="SL2" s="7"/>
      <c r="SM2" s="7"/>
      <c r="SN2" s="7"/>
      <c r="SO2" s="7"/>
      <c r="SP2" s="7"/>
      <c r="SQ2" s="7"/>
      <c r="SR2" s="7"/>
      <c r="SS2" s="7"/>
      <c r="ST2" s="7"/>
      <c r="SU2" s="7"/>
      <c r="SV2" s="7"/>
      <c r="SW2" s="7"/>
      <c r="SX2" s="7"/>
      <c r="SY2" s="7"/>
      <c r="SZ2" s="7"/>
      <c r="TA2" s="7"/>
      <c r="TB2" s="7"/>
      <c r="TC2" s="7"/>
      <c r="TD2" s="7"/>
      <c r="TE2" s="7"/>
      <c r="TF2" s="7"/>
      <c r="TG2" s="7"/>
      <c r="TH2" s="7"/>
      <c r="TI2" s="7"/>
      <c r="TJ2" s="7"/>
      <c r="TK2" s="7"/>
      <c r="TL2" s="7"/>
      <c r="TM2" s="7"/>
      <c r="TN2" s="7"/>
      <c r="TO2" s="7"/>
      <c r="TP2" s="7"/>
      <c r="TQ2" s="7"/>
      <c r="TR2" s="7"/>
      <c r="TS2" s="7"/>
      <c r="TT2" s="7"/>
      <c r="TU2" s="7"/>
      <c r="TV2" s="7"/>
      <c r="TW2" s="7"/>
      <c r="TX2" s="7"/>
      <c r="TY2" s="7"/>
      <c r="TZ2" s="7"/>
      <c r="UA2" s="7"/>
      <c r="UB2" s="7"/>
      <c r="UC2" s="7"/>
      <c r="UD2" s="7"/>
      <c r="UE2" s="7"/>
      <c r="UF2" s="7"/>
      <c r="UG2" s="7"/>
      <c r="UH2" s="7"/>
      <c r="UI2" s="7"/>
      <c r="UJ2" s="7"/>
      <c r="UK2" s="7"/>
      <c r="UL2" s="7"/>
      <c r="UM2" s="7"/>
      <c r="UN2" s="7"/>
      <c r="UO2" s="7"/>
      <c r="UP2" s="7"/>
      <c r="UQ2" s="7"/>
      <c r="UR2" s="7"/>
      <c r="US2" s="7"/>
      <c r="UT2" s="7"/>
      <c r="UU2" s="7"/>
      <c r="UV2" s="7"/>
      <c r="UW2" s="7"/>
      <c r="UX2" s="7"/>
      <c r="UY2" s="7"/>
      <c r="UZ2" s="7"/>
      <c r="VA2" s="7"/>
      <c r="VB2" s="7"/>
      <c r="VC2" s="7"/>
      <c r="VD2" s="7"/>
      <c r="VE2" s="7"/>
      <c r="VF2" s="7"/>
      <c r="VG2" s="7"/>
      <c r="VH2" s="7"/>
      <c r="VI2" s="7"/>
      <c r="VJ2" s="7"/>
      <c r="VK2" s="7"/>
      <c r="VL2" s="7"/>
      <c r="VM2" s="7"/>
      <c r="VN2" s="7"/>
      <c r="VO2" s="7"/>
      <c r="VP2" s="7"/>
      <c r="VQ2" s="7"/>
      <c r="VR2" s="7"/>
      <c r="VS2" s="7"/>
      <c r="VT2" s="7"/>
      <c r="VU2" s="7"/>
      <c r="VV2" s="7"/>
      <c r="VW2" s="7"/>
      <c r="VX2" s="7"/>
      <c r="VY2" s="7"/>
      <c r="VZ2" s="7"/>
      <c r="WA2" s="7"/>
      <c r="WB2" s="7"/>
      <c r="WC2" s="7"/>
      <c r="WD2" s="7"/>
      <c r="WE2" s="7"/>
      <c r="WF2" s="7"/>
      <c r="WG2" s="7"/>
      <c r="WH2" s="7"/>
      <c r="WI2" s="7"/>
      <c r="WJ2" s="7"/>
      <c r="WK2" s="7"/>
      <c r="WL2" s="7"/>
      <c r="WM2" s="7"/>
      <c r="WN2" s="7"/>
      <c r="WO2" s="7"/>
      <c r="WP2" s="7"/>
      <c r="WQ2" s="7"/>
      <c r="WR2" s="7"/>
      <c r="WS2" s="7"/>
      <c r="WT2" s="7"/>
      <c r="WU2" s="7"/>
      <c r="WV2" s="7"/>
      <c r="WW2" s="7"/>
      <c r="WX2" s="7"/>
      <c r="WY2" s="7"/>
      <c r="WZ2" s="7"/>
      <c r="XA2" s="7"/>
      <c r="XB2" s="7"/>
      <c r="XC2" s="7"/>
      <c r="XD2" s="7"/>
      <c r="XE2" s="7"/>
      <c r="XF2" s="7"/>
      <c r="XG2" s="7"/>
      <c r="XH2" s="7"/>
      <c r="XI2" s="7"/>
      <c r="XJ2" s="7"/>
      <c r="XK2" s="7"/>
      <c r="XL2" s="7"/>
      <c r="XM2" s="7"/>
      <c r="XN2" s="7"/>
      <c r="XO2" s="7"/>
      <c r="XP2" s="7"/>
      <c r="XQ2" s="7"/>
      <c r="XR2" s="7"/>
      <c r="XS2" s="7"/>
      <c r="XT2" s="7"/>
      <c r="XU2" s="7"/>
      <c r="XV2" s="7"/>
      <c r="XW2" s="7"/>
      <c r="XX2" s="7"/>
      <c r="XY2" s="7"/>
      <c r="XZ2" s="7"/>
      <c r="YA2" s="7"/>
      <c r="YB2" s="7"/>
      <c r="YC2" s="7"/>
      <c r="YD2" s="7"/>
      <c r="YE2" s="7"/>
      <c r="YF2" s="7"/>
      <c r="YG2" s="7"/>
      <c r="YH2" s="7"/>
      <c r="YI2" s="7"/>
      <c r="YJ2" s="7"/>
      <c r="YK2" s="7"/>
      <c r="YL2" s="7"/>
      <c r="YM2" s="7"/>
      <c r="YN2" s="7"/>
      <c r="YO2" s="7"/>
      <c r="YP2" s="7"/>
      <c r="YQ2" s="7"/>
      <c r="YR2" s="7"/>
      <c r="YS2" s="7"/>
      <c r="YT2" s="7"/>
      <c r="YU2" s="7"/>
      <c r="YV2" s="7"/>
      <c r="YW2" s="7"/>
      <c r="YX2" s="7"/>
      <c r="YY2" s="7"/>
      <c r="YZ2" s="7"/>
      <c r="ZA2" s="7"/>
      <c r="ZB2" s="7"/>
      <c r="ZC2" s="7"/>
      <c r="ZD2" s="7"/>
      <c r="ZE2" s="7"/>
      <c r="ZF2" s="7"/>
      <c r="ZG2" s="7"/>
      <c r="ZH2" s="7"/>
      <c r="ZI2" s="7"/>
      <c r="ZJ2" s="7"/>
      <c r="ZK2" s="7"/>
      <c r="ZL2" s="7"/>
      <c r="ZM2" s="7"/>
      <c r="ZN2" s="7"/>
      <c r="ZO2" s="7"/>
      <c r="ZP2" s="7"/>
      <c r="ZQ2" s="7"/>
      <c r="ZR2" s="7"/>
      <c r="ZS2" s="7"/>
      <c r="ZT2" s="7"/>
      <c r="ZU2" s="7"/>
      <c r="ZV2" s="7"/>
      <c r="ZW2" s="7"/>
      <c r="ZX2" s="7"/>
      <c r="ZY2" s="7"/>
      <c r="ZZ2" s="7"/>
      <c r="AAA2" s="7"/>
      <c r="AAB2" s="7"/>
      <c r="AAC2" s="7"/>
      <c r="AAD2" s="7"/>
      <c r="AAE2" s="7"/>
      <c r="AAF2" s="7"/>
      <c r="AAG2" s="7"/>
      <c r="AAH2" s="7"/>
      <c r="AAI2" s="7"/>
      <c r="AAJ2" s="7"/>
      <c r="AAK2" s="7"/>
      <c r="AAL2" s="7"/>
      <c r="AAM2" s="7"/>
      <c r="AAN2" s="7"/>
      <c r="AAO2" s="7"/>
      <c r="AAP2" s="7"/>
      <c r="AAQ2" s="7"/>
      <c r="AAR2" s="7"/>
      <c r="AAS2" s="7"/>
      <c r="AAT2" s="7"/>
      <c r="AAU2" s="7"/>
      <c r="AAV2" s="7"/>
      <c r="AAW2" s="7"/>
      <c r="AAX2" s="7"/>
      <c r="AAY2" s="7"/>
      <c r="AAZ2" s="7"/>
      <c r="ABA2" s="7"/>
      <c r="ABB2" s="7"/>
      <c r="ABC2" s="7"/>
      <c r="ABD2" s="7"/>
      <c r="ABE2" s="7"/>
      <c r="ABF2" s="7"/>
      <c r="ABG2" s="7"/>
      <c r="ABH2" s="7"/>
      <c r="ABI2" s="7"/>
      <c r="ABJ2" s="7"/>
      <c r="ABK2" s="7"/>
      <c r="ABL2" s="7"/>
      <c r="ABM2" s="7"/>
      <c r="ABN2" s="7"/>
      <c r="ABO2" s="7"/>
      <c r="ABP2" s="7"/>
      <c r="ABQ2" s="7"/>
      <c r="ABR2" s="7"/>
      <c r="ABS2" s="7"/>
      <c r="ABT2" s="7"/>
      <c r="ABU2" s="7"/>
      <c r="ABV2" s="7"/>
      <c r="ABW2" s="7"/>
      <c r="ABX2" s="7"/>
      <c r="ABY2" s="7"/>
      <c r="ABZ2" s="7"/>
      <c r="ACA2" s="7"/>
      <c r="ACB2" s="7"/>
      <c r="ACC2" s="7"/>
      <c r="ACD2" s="7"/>
      <c r="ACE2" s="7"/>
      <c r="ACF2" s="7"/>
      <c r="ACG2" s="7"/>
      <c r="ACH2" s="7"/>
      <c r="ACI2" s="7"/>
      <c r="ACJ2" s="7"/>
      <c r="ACK2" s="7"/>
      <c r="ACL2" s="7"/>
      <c r="ACM2" s="7"/>
      <c r="ACN2" s="7"/>
      <c r="ACO2" s="7"/>
      <c r="ACP2" s="7"/>
      <c r="ACQ2" s="7"/>
      <c r="ACR2" s="7"/>
      <c r="ACS2" s="7"/>
      <c r="ACT2" s="7"/>
      <c r="ACU2" s="7"/>
      <c r="ACV2" s="7"/>
      <c r="ACW2" s="7"/>
      <c r="ACX2" s="7"/>
      <c r="ACY2" s="7"/>
      <c r="ACZ2" s="7"/>
      <c r="ADA2" s="7"/>
      <c r="ADB2" s="7"/>
      <c r="ADC2" s="7"/>
      <c r="ADD2" s="7"/>
      <c r="ADE2" s="7"/>
      <c r="ADF2" s="7"/>
      <c r="ADG2" s="7"/>
      <c r="ADH2" s="7"/>
      <c r="ADI2" s="7"/>
      <c r="ADJ2" s="7"/>
      <c r="ADK2" s="7"/>
      <c r="ADL2" s="7"/>
      <c r="ADM2" s="7"/>
      <c r="ADN2" s="7"/>
      <c r="ADO2" s="7"/>
      <c r="ADP2" s="7"/>
      <c r="ADQ2" s="7"/>
      <c r="ADR2" s="7"/>
      <c r="ADS2" s="7"/>
      <c r="ADT2" s="7"/>
      <c r="ADU2" s="7"/>
      <c r="ADV2" s="7"/>
      <c r="ADW2" s="7"/>
      <c r="ADX2" s="7"/>
      <c r="ADY2" s="7"/>
      <c r="ADZ2" s="7"/>
      <c r="AEA2" s="7"/>
      <c r="AEB2" s="7"/>
      <c r="AEC2" s="7"/>
      <c r="AED2" s="7"/>
      <c r="AEE2" s="7"/>
      <c r="AEF2" s="7"/>
      <c r="AEG2" s="7"/>
      <c r="AEH2" s="7"/>
      <c r="AEI2" s="7"/>
      <c r="AEJ2" s="7"/>
      <c r="AEK2" s="7"/>
      <c r="AEL2" s="7"/>
      <c r="AEM2" s="7"/>
      <c r="AEN2" s="7"/>
      <c r="AEO2" s="7"/>
      <c r="AEP2" s="7"/>
      <c r="AEQ2" s="7"/>
      <c r="AER2" s="7"/>
      <c r="AES2" s="7"/>
      <c r="AET2" s="7"/>
      <c r="AEU2" s="7"/>
      <c r="AEV2" s="7"/>
      <c r="AEW2" s="7"/>
      <c r="AEX2" s="7"/>
      <c r="AEY2" s="7"/>
      <c r="AEZ2" s="7"/>
      <c r="AFA2" s="7"/>
      <c r="AFB2" s="7"/>
      <c r="AFC2" s="7"/>
      <c r="AFD2" s="7"/>
      <c r="AFE2" s="7"/>
      <c r="AFF2" s="7"/>
      <c r="AFG2" s="7"/>
      <c r="AFH2" s="7"/>
      <c r="AFI2" s="7"/>
      <c r="AFJ2" s="7"/>
      <c r="AFK2" s="7"/>
      <c r="AFL2" s="7"/>
      <c r="AFM2" s="7"/>
      <c r="AFN2" s="7"/>
      <c r="AFO2" s="7"/>
      <c r="AFP2" s="7"/>
      <c r="AFQ2" s="7"/>
      <c r="AFR2" s="7"/>
      <c r="AFS2" s="7"/>
      <c r="AFT2" s="7"/>
      <c r="AFU2" s="7"/>
      <c r="AFV2" s="7"/>
      <c r="AFW2" s="7"/>
      <c r="AFX2" s="7"/>
      <c r="AFY2" s="7"/>
      <c r="AFZ2" s="7"/>
      <c r="AGA2" s="7"/>
      <c r="AGB2" s="7"/>
      <c r="AGC2" s="7"/>
      <c r="AGD2" s="7"/>
      <c r="AGE2" s="7"/>
      <c r="AGF2" s="7"/>
      <c r="AGG2" s="7"/>
      <c r="AGH2" s="7"/>
      <c r="AGI2" s="7"/>
      <c r="AGJ2" s="7"/>
      <c r="AGK2" s="7"/>
      <c r="AGL2" s="7"/>
      <c r="AGM2" s="7"/>
      <c r="AGN2" s="7"/>
      <c r="AGO2" s="7"/>
      <c r="AGP2" s="7"/>
      <c r="AGQ2" s="7"/>
      <c r="AGR2" s="7"/>
      <c r="AGS2" s="7"/>
      <c r="AGT2" s="7"/>
      <c r="AGU2" s="7"/>
      <c r="AGV2" s="7"/>
      <c r="AGW2" s="7"/>
      <c r="AGX2" s="7"/>
      <c r="AGY2" s="7"/>
      <c r="AGZ2" s="7"/>
      <c r="AHA2" s="7"/>
      <c r="AHB2" s="7"/>
      <c r="AHC2" s="7"/>
      <c r="AHD2" s="7"/>
      <c r="AHE2" s="7"/>
      <c r="AHF2" s="7"/>
      <c r="AHG2" s="7"/>
      <c r="AHH2" s="7"/>
      <c r="AHI2" s="7"/>
      <c r="AHJ2" s="7"/>
      <c r="AHK2" s="7"/>
      <c r="AHL2" s="7"/>
      <c r="AHM2" s="7"/>
      <c r="AHN2" s="7"/>
      <c r="AHO2" s="7"/>
      <c r="AHP2" s="7"/>
      <c r="AHQ2" s="7"/>
      <c r="AHR2" s="7"/>
      <c r="AHS2" s="7"/>
      <c r="AHT2" s="7"/>
      <c r="AHU2" s="7"/>
      <c r="AHV2" s="7"/>
      <c r="AHW2" s="7"/>
      <c r="AHX2" s="7"/>
      <c r="AHY2" s="7"/>
      <c r="AHZ2" s="7"/>
      <c r="AIA2" s="7"/>
      <c r="AIB2" s="7"/>
      <c r="AIC2" s="7"/>
      <c r="AID2" s="7"/>
      <c r="AIE2" s="7"/>
      <c r="AIF2" s="7"/>
      <c r="AIG2" s="7"/>
      <c r="AIH2" s="7"/>
      <c r="AII2" s="7"/>
      <c r="AIJ2" s="7"/>
      <c r="AIK2" s="7"/>
      <c r="AIL2" s="7"/>
      <c r="AIM2" s="7"/>
      <c r="AIN2" s="7"/>
      <c r="AIO2" s="7"/>
      <c r="AIP2" s="7"/>
      <c r="AIQ2" s="7"/>
      <c r="AIR2" s="7"/>
      <c r="AIS2" s="7"/>
      <c r="AIT2" s="7"/>
      <c r="AIU2" s="7"/>
      <c r="AIV2" s="7"/>
      <c r="AIW2" s="7"/>
      <c r="AIX2" s="7"/>
      <c r="AIY2" s="7"/>
      <c r="AIZ2" s="7"/>
      <c r="AJA2" s="7"/>
      <c r="AJB2" s="7"/>
      <c r="AJC2" s="7"/>
      <c r="AJD2" s="7"/>
      <c r="AJE2" s="7"/>
      <c r="AJF2" s="7"/>
      <c r="AJG2" s="7"/>
      <c r="AJH2" s="7"/>
      <c r="AJI2" s="7"/>
      <c r="AJJ2" s="7"/>
      <c r="AJK2" s="7"/>
      <c r="AJL2" s="7"/>
      <c r="AJM2" s="7"/>
      <c r="AJN2" s="7"/>
      <c r="AJO2" s="7"/>
      <c r="AJP2" s="7"/>
      <c r="AJQ2" s="7"/>
      <c r="AJR2" s="7"/>
      <c r="AJS2" s="7"/>
      <c r="AJT2" s="7"/>
      <c r="AJU2" s="7"/>
      <c r="AJV2" s="7"/>
      <c r="AJW2" s="7"/>
      <c r="AJX2" s="7"/>
      <c r="AJY2" s="7"/>
      <c r="AJZ2" s="7"/>
      <c r="AKA2" s="7"/>
      <c r="AKB2" s="7"/>
      <c r="AKC2" s="7"/>
      <c r="AKD2" s="7"/>
      <c r="AKE2" s="7"/>
      <c r="AKF2" s="7"/>
      <c r="AKG2" s="7"/>
      <c r="AKH2" s="7"/>
      <c r="AKI2" s="7"/>
      <c r="AKJ2" s="7"/>
      <c r="AKK2" s="7"/>
      <c r="AKL2" s="7"/>
      <c r="AKM2" s="7"/>
      <c r="AKN2" s="7"/>
      <c r="AKO2" s="7"/>
      <c r="AKP2" s="7"/>
      <c r="AKQ2" s="7"/>
      <c r="AKR2" s="7"/>
      <c r="AKS2" s="7"/>
      <c r="AKT2" s="7"/>
      <c r="AKU2" s="7"/>
      <c r="AKV2" s="7"/>
      <c r="AKW2" s="7"/>
      <c r="AKX2" s="7"/>
      <c r="AKY2" s="7"/>
      <c r="AKZ2" s="7"/>
      <c r="ALA2" s="7"/>
      <c r="ALB2" s="7"/>
      <c r="ALC2" s="7"/>
      <c r="ALD2" s="7"/>
      <c r="ALE2" s="7"/>
      <c r="ALF2" s="7"/>
      <c r="ALG2" s="7"/>
      <c r="ALH2" s="7"/>
      <c r="ALI2" s="7"/>
      <c r="ALJ2" s="7"/>
      <c r="ALK2" s="7"/>
      <c r="ALL2" s="7"/>
      <c r="ALM2" s="7"/>
      <c r="ALN2" s="7"/>
      <c r="ALO2" s="7"/>
      <c r="ALP2" s="7"/>
      <c r="ALQ2" s="7"/>
      <c r="ALR2" s="7"/>
      <c r="ALS2" s="7"/>
      <c r="ALT2" s="7"/>
      <c r="ALU2" s="7"/>
      <c r="ALV2" s="7"/>
      <c r="ALW2" s="7"/>
      <c r="ALX2" s="7"/>
      <c r="ALY2" s="7"/>
      <c r="ALZ2" s="7"/>
      <c r="AMA2" s="7"/>
      <c r="AMB2" s="7"/>
      <c r="AMC2" s="7"/>
      <c r="AMD2" s="7"/>
      <c r="AME2" s="7"/>
      <c r="AMF2" s="7"/>
      <c r="AMG2" s="7"/>
      <c r="AMH2" s="7"/>
      <c r="AMI2" s="7"/>
      <c r="AMJ2" s="7"/>
      <c r="AMK2" s="7"/>
      <c r="AML2" s="7"/>
      <c r="AMM2" s="7"/>
    </row>
    <row r="3" spans="1:1027" ht="39" customHeight="1">
      <c r="A3" s="10">
        <v>45924</v>
      </c>
      <c r="B3" s="17" t="s">
        <v>16</v>
      </c>
      <c r="C3" s="11"/>
      <c r="D3" s="11"/>
      <c r="E3" s="11"/>
      <c r="F3" s="11"/>
      <c r="G3" s="11"/>
      <c r="H3" s="11"/>
      <c r="I3" s="11"/>
      <c r="J3" s="12" t="s">
        <v>17</v>
      </c>
    </row>
    <row r="4" spans="1:1027" ht="39" customHeight="1">
      <c r="A4" s="10">
        <v>45925</v>
      </c>
      <c r="B4" s="18" t="s">
        <v>18</v>
      </c>
      <c r="C4" s="11"/>
      <c r="D4" s="11"/>
      <c r="E4" s="11"/>
      <c r="F4" s="11"/>
      <c r="G4" s="11"/>
      <c r="H4" s="11"/>
      <c r="I4" s="11"/>
      <c r="J4" s="1" t="s">
        <v>19</v>
      </c>
    </row>
    <row r="5" spans="1:1027" ht="39" customHeight="1">
      <c r="A5" s="10">
        <v>45926</v>
      </c>
      <c r="B5" s="18" t="s">
        <v>20</v>
      </c>
      <c r="C5" s="11"/>
      <c r="D5" s="11"/>
      <c r="E5" s="11"/>
      <c r="F5" s="11"/>
      <c r="G5" s="11"/>
      <c r="H5" s="11"/>
      <c r="I5" s="11"/>
    </row>
    <row r="6" spans="1:1027" ht="39" customHeight="1">
      <c r="A6" s="10">
        <v>45927</v>
      </c>
      <c r="B6" s="18" t="s">
        <v>21</v>
      </c>
      <c r="C6" s="11"/>
      <c r="D6" s="11"/>
      <c r="E6" s="11"/>
      <c r="F6" s="11"/>
      <c r="G6" s="11"/>
      <c r="H6" s="11"/>
      <c r="I6" s="11"/>
    </row>
    <row r="7" spans="1:1027" ht="39" customHeight="1">
      <c r="A7" s="10">
        <v>45928</v>
      </c>
      <c r="B7" s="18">
        <v>12</v>
      </c>
      <c r="C7" s="11"/>
      <c r="D7" s="11"/>
      <c r="E7" s="11"/>
      <c r="F7" s="11"/>
      <c r="G7" s="11"/>
      <c r="H7" s="11"/>
      <c r="I7" s="11"/>
    </row>
    <row r="8" spans="1:1027" ht="39" customHeight="1">
      <c r="A8" s="10">
        <v>45929</v>
      </c>
      <c r="B8" s="18" t="s">
        <v>22</v>
      </c>
      <c r="C8" s="11"/>
      <c r="D8" s="11"/>
      <c r="E8" s="11"/>
      <c r="F8" s="11"/>
      <c r="G8" s="11"/>
      <c r="H8" s="11"/>
      <c r="I8" s="11"/>
    </row>
    <row r="9" spans="1:1027" ht="39" customHeight="1">
      <c r="A9" s="10">
        <v>45930</v>
      </c>
      <c r="B9" s="18" t="s">
        <v>23</v>
      </c>
      <c r="C9" s="11">
        <v>102</v>
      </c>
      <c r="D9" s="11">
        <v>153</v>
      </c>
      <c r="E9" s="11"/>
      <c r="F9" s="11">
        <v>131</v>
      </c>
      <c r="G9" s="11"/>
      <c r="H9" s="11"/>
      <c r="I9" s="11"/>
    </row>
    <row r="10" spans="1:1027" ht="39" customHeight="1">
      <c r="A10" s="10">
        <v>45931</v>
      </c>
      <c r="B10" s="18" t="s">
        <v>24</v>
      </c>
      <c r="C10" s="11">
        <v>109</v>
      </c>
      <c r="D10" s="11">
        <v>156</v>
      </c>
      <c r="E10" s="11"/>
      <c r="F10" s="11">
        <v>139</v>
      </c>
      <c r="G10" s="11"/>
      <c r="H10" s="11"/>
      <c r="I10" s="11"/>
      <c r="J10" s="12" t="s">
        <v>25</v>
      </c>
    </row>
    <row r="11" spans="1:1027" ht="39" customHeight="1">
      <c r="A11" s="10">
        <v>45932</v>
      </c>
      <c r="B11" s="18" t="s">
        <v>26</v>
      </c>
      <c r="C11" s="11">
        <v>97</v>
      </c>
      <c r="D11" s="11">
        <v>122</v>
      </c>
      <c r="E11" s="11"/>
      <c r="F11" s="11">
        <v>121</v>
      </c>
      <c r="G11" s="11"/>
      <c r="H11" s="11"/>
      <c r="I11" s="11"/>
      <c r="J11" s="15"/>
    </row>
    <row r="12" spans="1:1027" ht="39" customHeight="1">
      <c r="A12" s="10">
        <v>45933</v>
      </c>
      <c r="B12" s="18" t="s">
        <v>27</v>
      </c>
      <c r="C12" s="11">
        <v>105</v>
      </c>
      <c r="D12" s="11">
        <v>141</v>
      </c>
      <c r="E12" s="11"/>
      <c r="F12" s="11">
        <v>113</v>
      </c>
      <c r="G12" s="11"/>
      <c r="H12" s="11"/>
      <c r="I12" s="11"/>
    </row>
    <row r="13" spans="1:1027" ht="39" customHeight="1">
      <c r="A13" s="10">
        <v>45934</v>
      </c>
      <c r="B13" s="18" t="s">
        <v>28</v>
      </c>
      <c r="C13" s="11"/>
      <c r="D13" s="11">
        <v>145</v>
      </c>
      <c r="E13" s="11"/>
      <c r="F13" s="11">
        <v>104</v>
      </c>
      <c r="G13" s="11"/>
      <c r="H13" s="11"/>
      <c r="I13" s="11"/>
    </row>
    <row r="14" spans="1:1027" ht="39" customHeight="1">
      <c r="A14" s="10">
        <v>45935</v>
      </c>
      <c r="B14" s="18">
        <v>13</v>
      </c>
      <c r="C14" s="11">
        <v>93</v>
      </c>
      <c r="D14" s="11">
        <v>146</v>
      </c>
      <c r="E14" s="11"/>
      <c r="F14" s="11">
        <v>109</v>
      </c>
      <c r="G14" s="11"/>
      <c r="H14" s="11"/>
      <c r="I14" s="11"/>
    </row>
    <row r="15" spans="1:1027" ht="39" customHeight="1">
      <c r="A15" s="10">
        <v>45936</v>
      </c>
      <c r="B15" s="18" t="s">
        <v>29</v>
      </c>
      <c r="C15" s="11">
        <v>99</v>
      </c>
      <c r="D15" s="11">
        <v>125</v>
      </c>
      <c r="E15" s="11"/>
      <c r="F15" s="11">
        <v>132</v>
      </c>
      <c r="G15" s="11"/>
      <c r="H15" s="11">
        <v>151</v>
      </c>
      <c r="I15" s="11"/>
    </row>
    <row r="16" spans="1:1027" ht="39" customHeight="1">
      <c r="A16" s="10">
        <v>45937</v>
      </c>
      <c r="B16" s="18" t="s">
        <v>30</v>
      </c>
      <c r="C16" s="11">
        <v>97</v>
      </c>
      <c r="D16" s="11"/>
      <c r="E16" s="11"/>
      <c r="F16" s="11">
        <v>112</v>
      </c>
      <c r="G16" s="11"/>
      <c r="H16" s="11">
        <v>98</v>
      </c>
      <c r="I16" s="11"/>
    </row>
    <row r="17" spans="1:10" ht="39" customHeight="1">
      <c r="A17" s="10">
        <v>45938</v>
      </c>
      <c r="B17" s="18" t="s">
        <v>31</v>
      </c>
      <c r="C17" s="11">
        <v>101</v>
      </c>
      <c r="D17" s="11">
        <v>113</v>
      </c>
      <c r="E17" s="11"/>
      <c r="F17" s="11">
        <v>141</v>
      </c>
      <c r="G17" s="11"/>
      <c r="H17" s="11"/>
      <c r="I17" s="11"/>
      <c r="J17" s="12" t="s">
        <v>32</v>
      </c>
    </row>
    <row r="18" spans="1:10" ht="39" customHeight="1">
      <c r="A18" s="10">
        <v>45939</v>
      </c>
      <c r="B18" s="18" t="s">
        <v>33</v>
      </c>
      <c r="C18" s="11"/>
      <c r="D18" s="11"/>
      <c r="E18" s="11"/>
      <c r="F18" s="11"/>
      <c r="G18" s="11"/>
      <c r="H18" s="11"/>
      <c r="I18" s="11"/>
      <c r="J18" s="1" t="s">
        <v>34</v>
      </c>
    </row>
    <row r="19" spans="1:10" ht="39" customHeight="1">
      <c r="A19" s="10">
        <v>45940</v>
      </c>
      <c r="B19" s="18" t="s">
        <v>35</v>
      </c>
      <c r="C19" s="11">
        <v>84</v>
      </c>
      <c r="D19" s="11">
        <v>148</v>
      </c>
      <c r="E19" s="11"/>
      <c r="F19" s="11"/>
      <c r="G19" s="11"/>
      <c r="H19" s="11"/>
      <c r="I19" s="11"/>
    </row>
    <row r="20" spans="1:10" ht="39" customHeight="1">
      <c r="A20" s="10">
        <v>45941</v>
      </c>
      <c r="B20" s="18" t="s">
        <v>36</v>
      </c>
      <c r="C20" s="11"/>
      <c r="D20" s="11">
        <v>148</v>
      </c>
      <c r="E20" s="11"/>
      <c r="F20" s="11">
        <v>117</v>
      </c>
      <c r="G20" s="11"/>
      <c r="H20" s="11">
        <v>113</v>
      </c>
      <c r="I20" s="11"/>
    </row>
    <row r="21" spans="1:10" ht="39" customHeight="1">
      <c r="A21" s="10">
        <v>45942</v>
      </c>
      <c r="B21" s="18">
        <v>14</v>
      </c>
      <c r="C21" s="11">
        <v>103</v>
      </c>
      <c r="D21" s="11"/>
      <c r="E21" s="11"/>
      <c r="F21" s="11"/>
      <c r="G21" s="11"/>
      <c r="H21" s="11">
        <v>113</v>
      </c>
      <c r="I21" s="11"/>
    </row>
    <row r="22" spans="1:10" ht="39" customHeight="1">
      <c r="A22" s="10">
        <v>45943</v>
      </c>
      <c r="B22" s="18" t="s">
        <v>37</v>
      </c>
      <c r="C22" s="11">
        <v>110</v>
      </c>
      <c r="D22" s="11">
        <v>118</v>
      </c>
      <c r="E22" s="11"/>
      <c r="F22" s="11">
        <v>127</v>
      </c>
      <c r="G22" s="11"/>
      <c r="H22" s="11">
        <v>103</v>
      </c>
      <c r="I22" s="11"/>
      <c r="J22" s="1" t="str">
        <f>J4</f>
        <v>USG 28/08/25 7 S e 5 D</v>
      </c>
    </row>
    <row r="23" spans="1:10" ht="39" customHeight="1">
      <c r="A23" s="10">
        <v>45944</v>
      </c>
      <c r="B23" s="18" t="s">
        <v>38</v>
      </c>
      <c r="C23" s="11">
        <v>96</v>
      </c>
      <c r="D23" s="11">
        <v>126</v>
      </c>
      <c r="E23" s="11"/>
      <c r="F23" s="11">
        <v>139</v>
      </c>
      <c r="G23" s="11"/>
      <c r="H23" s="11"/>
      <c r="I23" s="11"/>
      <c r="J23" s="1" t="s">
        <v>39</v>
      </c>
    </row>
    <row r="24" spans="1:10" ht="39" customHeight="1">
      <c r="A24" s="10">
        <v>45945</v>
      </c>
      <c r="B24" s="18" t="s">
        <v>40</v>
      </c>
      <c r="C24" s="11">
        <v>108</v>
      </c>
      <c r="D24" s="11">
        <v>157</v>
      </c>
      <c r="E24" s="11"/>
      <c r="F24" s="11">
        <v>124</v>
      </c>
      <c r="G24" s="11"/>
      <c r="H24" s="11"/>
      <c r="I24" s="11"/>
      <c r="J24" s="16" t="s">
        <v>41</v>
      </c>
    </row>
    <row r="25" spans="1:10" ht="39" customHeight="1">
      <c r="A25" s="10">
        <v>45946</v>
      </c>
      <c r="B25" s="18" t="s">
        <v>42</v>
      </c>
      <c r="C25" s="11">
        <v>101</v>
      </c>
      <c r="D25" s="11"/>
      <c r="E25" s="11"/>
      <c r="F25" s="11"/>
      <c r="G25" s="11"/>
      <c r="H25" s="11"/>
      <c r="I25" s="11"/>
    </row>
    <row r="26" spans="1:10" ht="39" customHeight="1">
      <c r="A26" s="10">
        <v>45947</v>
      </c>
      <c r="B26" s="18" t="s">
        <v>43</v>
      </c>
      <c r="C26" s="11">
        <v>95</v>
      </c>
      <c r="D26" s="11"/>
      <c r="E26" s="11"/>
      <c r="F26" s="11"/>
      <c r="G26" s="11"/>
      <c r="H26" s="11">
        <v>108</v>
      </c>
      <c r="I26" s="11"/>
    </row>
    <row r="27" spans="1:10" ht="39" customHeight="1">
      <c r="A27" s="10">
        <v>45948</v>
      </c>
      <c r="B27" s="18" t="s">
        <v>44</v>
      </c>
      <c r="C27" s="11"/>
      <c r="D27" s="11"/>
      <c r="E27" s="11"/>
      <c r="F27" s="11"/>
      <c r="G27" s="11"/>
      <c r="H27" s="11"/>
      <c r="I27" s="11"/>
    </row>
    <row r="28" spans="1:10" ht="39" customHeight="1">
      <c r="A28" s="10">
        <v>45949</v>
      </c>
      <c r="B28" s="18">
        <v>15</v>
      </c>
      <c r="C28" s="11"/>
      <c r="D28" s="11"/>
      <c r="E28" s="11"/>
      <c r="F28" s="11"/>
      <c r="G28" s="11"/>
      <c r="H28" s="11"/>
      <c r="I28" s="11"/>
    </row>
    <row r="29" spans="1:10" ht="39" customHeight="1">
      <c r="A29" s="10">
        <v>45950</v>
      </c>
      <c r="B29" s="18" t="s">
        <v>45</v>
      </c>
      <c r="C29" s="11"/>
      <c r="D29" s="11"/>
      <c r="E29" s="11"/>
      <c r="F29" s="11"/>
      <c r="G29" s="11"/>
      <c r="H29" s="11"/>
      <c r="I29" s="11"/>
    </row>
    <row r="30" spans="1:10" ht="39" customHeight="1">
      <c r="A30" s="10">
        <v>45951</v>
      </c>
      <c r="B30" s="18" t="s">
        <v>46</v>
      </c>
      <c r="C30" s="11"/>
      <c r="D30" s="11"/>
      <c r="E30" s="11"/>
      <c r="F30" s="11"/>
      <c r="G30" s="11"/>
      <c r="H30" s="11"/>
      <c r="I30" s="11"/>
    </row>
    <row r="31" spans="1:10" ht="39" customHeight="1">
      <c r="A31" s="10">
        <v>45952</v>
      </c>
      <c r="B31" s="18" t="s">
        <v>47</v>
      </c>
      <c r="C31" s="11"/>
      <c r="D31" s="11"/>
      <c r="E31" s="11"/>
      <c r="F31" s="11"/>
      <c r="G31" s="11"/>
      <c r="H31" s="11"/>
      <c r="I31" s="11"/>
      <c r="J31" s="16" t="s">
        <v>25</v>
      </c>
    </row>
    <row r="32" spans="1:10" ht="39" customHeight="1">
      <c r="A32" s="10">
        <v>45953</v>
      </c>
      <c r="B32" s="18" t="s">
        <v>48</v>
      </c>
      <c r="C32" s="11"/>
      <c r="D32" s="11"/>
      <c r="E32" s="11"/>
      <c r="F32" s="11"/>
      <c r="G32" s="11"/>
      <c r="H32" s="11"/>
      <c r="I32" s="11"/>
    </row>
    <row r="33" spans="1:10" ht="39" customHeight="1">
      <c r="A33" s="10">
        <v>45954</v>
      </c>
      <c r="B33" s="18" t="s">
        <v>49</v>
      </c>
      <c r="C33" s="11"/>
      <c r="D33" s="11"/>
      <c r="E33" s="11"/>
      <c r="F33" s="11"/>
      <c r="G33" s="11"/>
      <c r="H33" s="11"/>
      <c r="I33" s="11"/>
    </row>
    <row r="34" spans="1:10" ht="39" customHeight="1">
      <c r="A34" s="10">
        <v>45955</v>
      </c>
      <c r="B34" s="18" t="s">
        <v>50</v>
      </c>
      <c r="C34" s="11"/>
      <c r="D34" s="11"/>
      <c r="E34" s="11"/>
      <c r="F34" s="11"/>
      <c r="G34" s="11"/>
      <c r="H34" s="11"/>
      <c r="I34" s="11"/>
    </row>
    <row r="35" spans="1:10" ht="39" customHeight="1">
      <c r="A35" s="10">
        <v>45956</v>
      </c>
      <c r="B35" s="18">
        <v>16</v>
      </c>
      <c r="C35" s="11"/>
      <c r="D35" s="11"/>
      <c r="E35" s="11"/>
      <c r="F35" s="11"/>
      <c r="G35" s="11"/>
      <c r="H35" s="11"/>
      <c r="I35" s="11"/>
    </row>
    <row r="36" spans="1:10" ht="39" customHeight="1">
      <c r="A36" s="10">
        <v>45957</v>
      </c>
      <c r="B36" s="18" t="s">
        <v>51</v>
      </c>
      <c r="C36" s="11">
        <v>91</v>
      </c>
      <c r="D36" s="11">
        <v>151</v>
      </c>
      <c r="E36" s="11">
        <v>87</v>
      </c>
      <c r="F36" s="11">
        <v>118</v>
      </c>
      <c r="G36" s="11">
        <v>90</v>
      </c>
      <c r="H36" s="11">
        <v>142</v>
      </c>
      <c r="I36" s="11"/>
      <c r="J36" s="20" t="s">
        <v>52</v>
      </c>
    </row>
    <row r="37" spans="1:10" ht="39" customHeight="1">
      <c r="A37" s="10">
        <v>45958</v>
      </c>
      <c r="B37" s="18" t="s">
        <v>53</v>
      </c>
      <c r="C37" s="11">
        <v>103</v>
      </c>
      <c r="D37" s="11">
        <v>152</v>
      </c>
      <c r="E37" s="11">
        <v>100</v>
      </c>
      <c r="F37" s="11">
        <v>144</v>
      </c>
      <c r="G37" s="11">
        <v>94</v>
      </c>
      <c r="H37" s="11"/>
      <c r="I37" s="11">
        <v>96</v>
      </c>
    </row>
    <row r="38" spans="1:10" ht="39" customHeight="1">
      <c r="A38" s="10">
        <v>45959</v>
      </c>
      <c r="B38" s="18" t="s">
        <v>54</v>
      </c>
      <c r="C38" s="11">
        <v>95</v>
      </c>
      <c r="D38" s="11">
        <v>146</v>
      </c>
      <c r="E38" s="11">
        <v>79</v>
      </c>
      <c r="F38" s="11">
        <v>143</v>
      </c>
      <c r="G38" s="11"/>
      <c r="H38" s="11"/>
      <c r="I38" s="11"/>
      <c r="J38" s="20" t="s">
        <v>55</v>
      </c>
    </row>
    <row r="39" spans="1:10" ht="39" customHeight="1">
      <c r="A39" s="10">
        <v>45960</v>
      </c>
      <c r="B39" s="19" t="s">
        <v>56</v>
      </c>
      <c r="C39" s="11"/>
      <c r="D39" s="11">
        <v>136</v>
      </c>
      <c r="E39" s="11"/>
      <c r="F39" s="11">
        <v>108</v>
      </c>
      <c r="G39" s="11"/>
      <c r="H39" s="11"/>
      <c r="I39" s="11"/>
    </row>
    <row r="40" spans="1:10" ht="39" customHeight="1">
      <c r="A40" s="10">
        <v>45961</v>
      </c>
      <c r="B40" s="19" t="s">
        <v>57</v>
      </c>
      <c r="C40" s="11">
        <v>104</v>
      </c>
      <c r="D40" s="11">
        <v>164</v>
      </c>
      <c r="E40" s="11">
        <v>116</v>
      </c>
      <c r="F40" s="11">
        <v>112</v>
      </c>
      <c r="G40" s="11">
        <v>108</v>
      </c>
      <c r="H40" s="11">
        <v>105</v>
      </c>
      <c r="I40" s="11">
        <v>107</v>
      </c>
    </row>
    <row r="41" spans="1:10" ht="39" customHeight="1">
      <c r="A41" s="10">
        <v>45962</v>
      </c>
      <c r="B41" s="19" t="s">
        <v>58</v>
      </c>
      <c r="C41" s="11">
        <v>93</v>
      </c>
      <c r="D41" s="11"/>
      <c r="E41" s="11"/>
      <c r="F41" s="11"/>
      <c r="G41" s="11"/>
      <c r="H41" s="11">
        <v>135</v>
      </c>
      <c r="I41" s="11">
        <v>93</v>
      </c>
    </row>
    <row r="42" spans="1:10" ht="39" customHeight="1">
      <c r="A42" s="10">
        <v>45963</v>
      </c>
      <c r="B42" s="19">
        <v>17</v>
      </c>
      <c r="C42" s="11">
        <v>107</v>
      </c>
      <c r="D42" s="11">
        <v>135</v>
      </c>
      <c r="E42" s="11"/>
      <c r="F42" s="11"/>
      <c r="G42" s="11"/>
      <c r="H42" s="11">
        <v>124</v>
      </c>
      <c r="I42" s="11"/>
    </row>
    <row r="43" spans="1:10" ht="39" customHeight="1">
      <c r="A43" s="10">
        <v>45964</v>
      </c>
      <c r="B43" s="19" t="s">
        <v>59</v>
      </c>
      <c r="C43" s="11">
        <v>103</v>
      </c>
      <c r="D43" s="11">
        <v>103</v>
      </c>
      <c r="E43" s="11">
        <v>72</v>
      </c>
      <c r="F43" s="11">
        <v>127</v>
      </c>
      <c r="G43" s="11">
        <v>88</v>
      </c>
      <c r="H43" s="11"/>
      <c r="I43" s="11">
        <v>99</v>
      </c>
    </row>
    <row r="44" spans="1:10" ht="39" customHeight="1">
      <c r="A44" s="10">
        <v>45965</v>
      </c>
      <c r="B44" s="19" t="s">
        <v>60</v>
      </c>
      <c r="C44" s="11">
        <v>106</v>
      </c>
      <c r="D44" s="11">
        <v>152</v>
      </c>
      <c r="E44" s="11">
        <v>66</v>
      </c>
      <c r="F44" s="11">
        <v>114</v>
      </c>
      <c r="G44" s="11"/>
      <c r="H44" s="11"/>
      <c r="I44" s="11"/>
      <c r="J44" s="1">
        <f>18/39</f>
        <v>0.46153846153846156</v>
      </c>
    </row>
    <row r="45" spans="1:10" ht="39" customHeight="1">
      <c r="A45" s="10">
        <v>45966</v>
      </c>
      <c r="B45" s="19" t="s">
        <v>61</v>
      </c>
      <c r="C45" s="11">
        <v>98</v>
      </c>
      <c r="D45" s="11">
        <v>126</v>
      </c>
      <c r="E45" s="11"/>
      <c r="F45" s="11">
        <v>133</v>
      </c>
      <c r="G45" s="11"/>
      <c r="H45" s="11"/>
      <c r="I45" s="11"/>
    </row>
    <row r="46" spans="1:10" ht="39" customHeight="1">
      <c r="A46" s="10">
        <v>45967</v>
      </c>
      <c r="B46" s="19" t="s">
        <v>62</v>
      </c>
      <c r="C46" s="11">
        <v>98</v>
      </c>
      <c r="D46" s="11">
        <v>132</v>
      </c>
      <c r="E46" s="11">
        <v>91</v>
      </c>
      <c r="F46" s="11"/>
      <c r="G46" s="11"/>
      <c r="H46" s="11">
        <v>114</v>
      </c>
      <c r="I46" s="21"/>
      <c r="J46" s="20" t="s">
        <v>63</v>
      </c>
    </row>
    <row r="47" spans="1:10" ht="39" customHeight="1">
      <c r="A47" s="10">
        <v>45968</v>
      </c>
      <c r="B47" s="19" t="s">
        <v>64</v>
      </c>
      <c r="C47" s="11"/>
      <c r="D47" s="11">
        <v>124</v>
      </c>
      <c r="E47" s="11">
        <v>94</v>
      </c>
      <c r="F47" s="11">
        <v>132</v>
      </c>
      <c r="G47" s="11"/>
      <c r="H47" s="11">
        <v>110</v>
      </c>
      <c r="I47" s="11"/>
    </row>
    <row r="48" spans="1:10" ht="39" customHeight="1">
      <c r="A48" s="10">
        <v>45969</v>
      </c>
      <c r="B48" s="19" t="s">
        <v>65</v>
      </c>
      <c r="C48" s="11">
        <v>107</v>
      </c>
      <c r="D48" s="11">
        <v>112</v>
      </c>
      <c r="E48" s="11">
        <v>87</v>
      </c>
      <c r="F48" s="11">
        <v>122</v>
      </c>
      <c r="G48" s="11"/>
      <c r="H48" s="11">
        <v>131</v>
      </c>
      <c r="I48" s="11"/>
    </row>
    <row r="49" spans="1:10" ht="39" customHeight="1">
      <c r="A49" s="10">
        <v>45970</v>
      </c>
      <c r="B49" s="18">
        <v>18</v>
      </c>
      <c r="C49" s="11">
        <v>116</v>
      </c>
      <c r="D49" s="11">
        <v>103</v>
      </c>
      <c r="E49" s="11">
        <v>91</v>
      </c>
      <c r="F49" s="11">
        <v>115</v>
      </c>
      <c r="H49" s="11">
        <v>99</v>
      </c>
      <c r="I49" s="11"/>
    </row>
    <row r="50" spans="1:10" ht="39" customHeight="1">
      <c r="A50" s="10">
        <v>45971</v>
      </c>
      <c r="B50" s="18" t="s">
        <v>66</v>
      </c>
      <c r="C50" s="11">
        <v>98</v>
      </c>
      <c r="D50" s="11">
        <v>150</v>
      </c>
      <c r="E50" s="11">
        <v>99</v>
      </c>
      <c r="F50" s="11">
        <v>115</v>
      </c>
      <c r="G50" s="11"/>
      <c r="H50" s="11"/>
      <c r="I50" s="11"/>
    </row>
    <row r="51" spans="1:10" ht="39" customHeight="1">
      <c r="A51" s="10">
        <v>45972</v>
      </c>
      <c r="B51" s="18" t="s">
        <v>67</v>
      </c>
      <c r="C51" s="11">
        <v>96</v>
      </c>
      <c r="D51" s="11">
        <v>141</v>
      </c>
      <c r="E51" s="11">
        <v>93</v>
      </c>
      <c r="F51" s="11">
        <v>129</v>
      </c>
      <c r="G51" s="11"/>
      <c r="H51" s="11"/>
      <c r="I51" s="11"/>
      <c r="J51" s="1" t="s">
        <v>68</v>
      </c>
    </row>
    <row r="52" spans="1:10" ht="39" customHeight="1">
      <c r="A52" s="10">
        <v>45973</v>
      </c>
      <c r="B52" s="18" t="s">
        <v>69</v>
      </c>
      <c r="C52" s="11"/>
      <c r="D52" s="11">
        <v>186</v>
      </c>
      <c r="E52" s="11">
        <v>107</v>
      </c>
      <c r="F52" s="11">
        <v>186</v>
      </c>
      <c r="G52" s="11">
        <v>110</v>
      </c>
      <c r="H52" s="11">
        <v>138</v>
      </c>
      <c r="I52" s="11"/>
    </row>
    <row r="53" spans="1:10" ht="39" customHeight="1">
      <c r="A53" s="10">
        <v>45974</v>
      </c>
      <c r="B53" s="18" t="s">
        <v>70</v>
      </c>
      <c r="C53" s="11">
        <v>97</v>
      </c>
      <c r="D53" s="11">
        <v>128</v>
      </c>
      <c r="E53" s="11">
        <v>89</v>
      </c>
      <c r="F53" s="11"/>
      <c r="G53" s="11"/>
      <c r="H53" s="11"/>
      <c r="I53" s="11"/>
    </row>
    <row r="54" spans="1:10" ht="39" customHeight="1">
      <c r="A54" s="10">
        <v>45975</v>
      </c>
      <c r="B54" s="18" t="s">
        <v>71</v>
      </c>
      <c r="C54" s="11"/>
      <c r="D54" s="11"/>
      <c r="E54" s="11"/>
      <c r="F54" s="11"/>
      <c r="G54" s="11"/>
      <c r="H54" s="11"/>
      <c r="I54" s="11"/>
      <c r="J54" s="1" t="s">
        <v>72</v>
      </c>
    </row>
    <row r="55" spans="1:10" ht="39" customHeight="1">
      <c r="A55" s="10">
        <v>45976</v>
      </c>
      <c r="B55" s="18" t="s">
        <v>73</v>
      </c>
      <c r="C55" s="11"/>
      <c r="D55" s="11"/>
      <c r="E55" s="11"/>
      <c r="F55" s="11"/>
      <c r="G55" s="11"/>
      <c r="H55" s="11"/>
      <c r="I55" s="11"/>
      <c r="J55" s="1" t="s">
        <v>72</v>
      </c>
    </row>
    <row r="56" spans="1:10" ht="39" customHeight="1">
      <c r="A56" s="10">
        <v>45977</v>
      </c>
      <c r="B56" s="18">
        <v>19</v>
      </c>
      <c r="C56" s="11"/>
      <c r="D56" s="11"/>
      <c r="E56" s="11"/>
      <c r="F56" s="11"/>
      <c r="G56" s="11"/>
      <c r="H56" s="11"/>
      <c r="I56" s="11"/>
      <c r="J56" s="1" t="s">
        <v>72</v>
      </c>
    </row>
    <row r="57" spans="1:10" ht="39" customHeight="1">
      <c r="A57" s="10">
        <v>45978</v>
      </c>
      <c r="B57" s="18" t="s">
        <v>74</v>
      </c>
      <c r="C57" s="11"/>
      <c r="D57" s="11"/>
      <c r="E57" s="11"/>
      <c r="F57" s="11"/>
      <c r="G57" s="11"/>
      <c r="H57" s="11"/>
      <c r="I57" s="11"/>
      <c r="J57" s="1" t="s">
        <v>72</v>
      </c>
    </row>
    <row r="58" spans="1:10" ht="39" customHeight="1">
      <c r="A58" s="10">
        <v>45979</v>
      </c>
      <c r="B58" s="18" t="s">
        <v>75</v>
      </c>
      <c r="C58" s="11"/>
      <c r="D58" s="11"/>
      <c r="E58" s="11"/>
      <c r="F58" s="11"/>
      <c r="G58" s="11"/>
      <c r="H58" s="11"/>
      <c r="I58" s="11"/>
      <c r="J58" s="1" t="s">
        <v>72</v>
      </c>
    </row>
    <row r="59" spans="1:10" ht="39" customHeight="1">
      <c r="A59" s="10">
        <v>45980</v>
      </c>
      <c r="B59" s="18" t="s">
        <v>76</v>
      </c>
      <c r="C59" s="11"/>
      <c r="D59" s="11"/>
      <c r="E59" s="11"/>
      <c r="F59" s="11"/>
      <c r="G59" s="11"/>
      <c r="H59" s="11"/>
      <c r="I59" s="11"/>
      <c r="J59" s="22" t="s">
        <v>77</v>
      </c>
    </row>
    <row r="60" spans="1:10" ht="39" customHeight="1">
      <c r="A60" s="10">
        <v>45981</v>
      </c>
      <c r="B60" s="18" t="s">
        <v>78</v>
      </c>
      <c r="C60" s="11">
        <v>100</v>
      </c>
      <c r="D60" s="11">
        <v>120</v>
      </c>
      <c r="E60" s="11">
        <v>105</v>
      </c>
      <c r="F60" s="11">
        <v>109</v>
      </c>
      <c r="G60" s="11">
        <v>97</v>
      </c>
      <c r="H60" s="11"/>
      <c r="I60" s="11"/>
    </row>
    <row r="61" spans="1:10" ht="39" customHeight="1">
      <c r="A61" s="10">
        <v>45982</v>
      </c>
      <c r="B61" s="18" t="s">
        <v>79</v>
      </c>
      <c r="C61" s="11"/>
      <c r="D61" s="11">
        <v>144</v>
      </c>
      <c r="E61" s="11">
        <v>85</v>
      </c>
      <c r="F61" s="11"/>
      <c r="G61" s="11"/>
      <c r="H61" s="11"/>
      <c r="I61" s="11"/>
    </row>
    <row r="62" spans="1:10" ht="39" customHeight="1">
      <c r="A62" s="10">
        <v>45983</v>
      </c>
      <c r="B62" s="18" t="s">
        <v>80</v>
      </c>
      <c r="C62" s="11">
        <v>99</v>
      </c>
      <c r="D62" s="11">
        <v>151</v>
      </c>
      <c r="E62" s="11">
        <v>98</v>
      </c>
      <c r="F62" s="11"/>
      <c r="G62" s="11"/>
      <c r="H62" s="11"/>
      <c r="I62" s="11"/>
    </row>
    <row r="63" spans="1:10" ht="39" customHeight="1">
      <c r="A63" s="10">
        <v>45984</v>
      </c>
      <c r="B63" s="18">
        <v>20</v>
      </c>
      <c r="C63" s="11"/>
      <c r="D63" s="11"/>
      <c r="E63" s="11"/>
      <c r="F63" s="11"/>
      <c r="G63" s="11"/>
      <c r="H63" s="11"/>
      <c r="I63" s="11"/>
    </row>
    <row r="64" spans="1:10" ht="39" customHeight="1">
      <c r="A64" s="10">
        <v>45985</v>
      </c>
      <c r="B64" s="18" t="s">
        <v>81</v>
      </c>
      <c r="C64" s="11">
        <v>107</v>
      </c>
      <c r="D64" s="11">
        <v>148</v>
      </c>
      <c r="E64" s="11">
        <v>92</v>
      </c>
      <c r="F64" s="11">
        <v>156</v>
      </c>
      <c r="G64" s="11"/>
      <c r="H64" s="11"/>
      <c r="I64" s="11"/>
    </row>
    <row r="65" spans="1:10" ht="39" customHeight="1">
      <c r="A65" s="10">
        <v>45986</v>
      </c>
      <c r="B65" s="18" t="s">
        <v>82</v>
      </c>
      <c r="C65" s="11">
        <v>110</v>
      </c>
      <c r="D65" s="11">
        <v>173</v>
      </c>
      <c r="E65" s="11">
        <v>97</v>
      </c>
      <c r="F65" s="11">
        <v>116</v>
      </c>
      <c r="G65" s="11"/>
      <c r="H65" s="11"/>
      <c r="I65" s="11"/>
    </row>
    <row r="66" spans="1:10" ht="39" customHeight="1">
      <c r="A66" s="10">
        <v>45987</v>
      </c>
      <c r="B66" s="18" t="s">
        <v>83</v>
      </c>
      <c r="C66" s="11">
        <v>103</v>
      </c>
      <c r="D66" s="11">
        <v>179</v>
      </c>
      <c r="E66" s="11"/>
      <c r="F66" s="11">
        <v>138</v>
      </c>
      <c r="G66" s="11"/>
      <c r="H66" s="11">
        <v>101</v>
      </c>
      <c r="I66" s="21"/>
      <c r="J66" s="20" t="s">
        <v>84</v>
      </c>
    </row>
    <row r="67" spans="1:10" ht="39" customHeight="1">
      <c r="A67" s="10">
        <v>45988</v>
      </c>
      <c r="B67" s="18" t="s">
        <v>85</v>
      </c>
      <c r="C67" s="11">
        <v>106</v>
      </c>
      <c r="D67" s="11">
        <v>117</v>
      </c>
      <c r="E67" s="11">
        <v>71</v>
      </c>
      <c r="F67" s="11">
        <v>150</v>
      </c>
      <c r="G67" s="11"/>
      <c r="H67" s="11">
        <v>119</v>
      </c>
      <c r="I67" s="11"/>
    </row>
    <row r="68" spans="1:10" ht="39" customHeight="1">
      <c r="A68" s="10">
        <v>45989</v>
      </c>
      <c r="B68" s="18" t="s">
        <v>86</v>
      </c>
      <c r="C68" s="11">
        <v>93</v>
      </c>
      <c r="D68" s="11">
        <v>144</v>
      </c>
      <c r="E68" s="11"/>
      <c r="F68" s="11">
        <v>128</v>
      </c>
      <c r="G68" s="11"/>
      <c r="H68" s="11"/>
      <c r="I68" s="11"/>
    </row>
    <row r="69" spans="1:10" ht="39" customHeight="1">
      <c r="A69" s="10">
        <v>45990</v>
      </c>
      <c r="B69" s="18" t="s">
        <v>87</v>
      </c>
      <c r="C69" s="11">
        <v>106</v>
      </c>
      <c r="D69" s="11">
        <v>131</v>
      </c>
      <c r="E69" s="11">
        <v>81</v>
      </c>
      <c r="F69" s="11">
        <v>116</v>
      </c>
      <c r="G69" s="11"/>
      <c r="H69" s="11"/>
      <c r="I69" s="11"/>
    </row>
    <row r="70" spans="1:10" ht="39" customHeight="1">
      <c r="A70" s="10">
        <v>45991</v>
      </c>
      <c r="B70" s="18">
        <v>21</v>
      </c>
      <c r="C70" s="11">
        <v>105</v>
      </c>
      <c r="D70" s="11">
        <v>121</v>
      </c>
      <c r="E70" s="11">
        <v>97</v>
      </c>
      <c r="F70" s="11"/>
      <c r="G70" s="11"/>
      <c r="H70" s="11"/>
      <c r="I70" s="11"/>
    </row>
    <row r="71" spans="1:10" ht="39" customHeight="1">
      <c r="A71" s="10">
        <v>45992</v>
      </c>
      <c r="B71" s="18" t="s">
        <v>88</v>
      </c>
      <c r="C71" s="11">
        <v>98</v>
      </c>
      <c r="D71" s="11">
        <v>99</v>
      </c>
      <c r="E71" s="11">
        <v>85</v>
      </c>
      <c r="F71" s="11">
        <v>142</v>
      </c>
      <c r="G71" s="11"/>
      <c r="H71" s="11">
        <v>101</v>
      </c>
      <c r="I71" s="11"/>
    </row>
    <row r="72" spans="1:10" ht="39" customHeight="1">
      <c r="A72" s="10">
        <v>45993</v>
      </c>
      <c r="B72" s="18" t="s">
        <v>89</v>
      </c>
      <c r="C72" s="11">
        <v>101</v>
      </c>
      <c r="D72" s="11">
        <v>144</v>
      </c>
      <c r="E72" s="11">
        <v>86</v>
      </c>
      <c r="F72" s="11">
        <v>123</v>
      </c>
      <c r="G72" s="11">
        <v>105</v>
      </c>
      <c r="H72" s="11"/>
      <c r="I72" s="11"/>
    </row>
    <row r="73" spans="1:10" ht="39" customHeight="1">
      <c r="A73" s="10">
        <v>45994</v>
      </c>
      <c r="B73" s="18" t="s">
        <v>90</v>
      </c>
      <c r="C73" s="11">
        <v>103</v>
      </c>
      <c r="D73" s="11">
        <v>144</v>
      </c>
      <c r="E73" s="11"/>
      <c r="F73" s="11">
        <v>112</v>
      </c>
      <c r="G73" s="11"/>
      <c r="H73" s="11"/>
      <c r="I73" s="11"/>
      <c r="J73" s="22" t="s">
        <v>91</v>
      </c>
    </row>
    <row r="74" spans="1:10" ht="39" customHeight="1">
      <c r="A74" s="10">
        <v>45995</v>
      </c>
      <c r="B74" s="18" t="s">
        <v>92</v>
      </c>
      <c r="C74" s="11"/>
      <c r="D74" s="11">
        <v>86</v>
      </c>
      <c r="E74" s="11"/>
      <c r="F74" s="11"/>
      <c r="G74" s="11"/>
      <c r="H74" s="11"/>
      <c r="I74" s="11"/>
    </row>
    <row r="75" spans="1:10" ht="39" customHeight="1">
      <c r="A75" s="10">
        <v>45996</v>
      </c>
      <c r="B75" s="18" t="s">
        <v>93</v>
      </c>
      <c r="C75" s="11">
        <v>104</v>
      </c>
      <c r="D75" s="11">
        <v>130</v>
      </c>
      <c r="E75" s="11">
        <v>80</v>
      </c>
      <c r="F75" s="11">
        <v>116</v>
      </c>
      <c r="G75" s="11"/>
      <c r="H75" s="11"/>
      <c r="I75" s="11"/>
    </row>
    <row r="76" spans="1:10" ht="39" customHeight="1">
      <c r="A76" s="10">
        <v>45997</v>
      </c>
      <c r="B76" s="18" t="s">
        <v>94</v>
      </c>
      <c r="C76" s="11"/>
      <c r="D76" s="11"/>
      <c r="E76" s="11"/>
      <c r="F76" s="11"/>
      <c r="G76" s="11"/>
      <c r="H76" s="11"/>
      <c r="I76" s="11"/>
    </row>
    <row r="77" spans="1:10" ht="39" customHeight="1">
      <c r="A77" s="10">
        <v>45998</v>
      </c>
      <c r="B77" s="18">
        <v>22</v>
      </c>
      <c r="C77" s="11">
        <v>94</v>
      </c>
      <c r="D77" s="11">
        <v>116</v>
      </c>
      <c r="E77" s="11"/>
      <c r="F77" s="11">
        <v>161</v>
      </c>
      <c r="G77" s="11"/>
      <c r="H77" s="11"/>
      <c r="I77" s="11"/>
    </row>
    <row r="78" spans="1:10" ht="39" customHeight="1">
      <c r="A78" s="10">
        <v>45999</v>
      </c>
      <c r="B78" s="18" t="s">
        <v>95</v>
      </c>
      <c r="C78" s="11">
        <v>113</v>
      </c>
      <c r="D78" s="11">
        <v>114</v>
      </c>
      <c r="E78" s="11">
        <v>92</v>
      </c>
      <c r="F78" s="11">
        <v>101</v>
      </c>
      <c r="G78" s="11"/>
      <c r="H78" s="11">
        <v>142</v>
      </c>
      <c r="I78" s="11"/>
    </row>
    <row r="79" spans="1:10" ht="39" customHeight="1">
      <c r="A79" s="10">
        <v>46000</v>
      </c>
      <c r="B79" s="18" t="s">
        <v>96</v>
      </c>
      <c r="C79" s="11">
        <v>97</v>
      </c>
      <c r="D79" s="11">
        <v>155</v>
      </c>
      <c r="E79" s="11">
        <v>91</v>
      </c>
      <c r="F79" s="11">
        <v>125</v>
      </c>
      <c r="G79" s="11"/>
      <c r="H79" s="11"/>
      <c r="I79" s="11"/>
    </row>
    <row r="80" spans="1:10" ht="39" customHeight="1">
      <c r="A80" s="10">
        <v>46001</v>
      </c>
      <c r="B80" s="18" t="s">
        <v>97</v>
      </c>
      <c r="C80" s="11">
        <v>102</v>
      </c>
      <c r="D80" s="11">
        <v>127</v>
      </c>
      <c r="E80" s="11"/>
      <c r="F80" s="11">
        <v>143</v>
      </c>
      <c r="G80" s="11"/>
      <c r="H80" s="11">
        <v>110</v>
      </c>
      <c r="I80" s="11"/>
    </row>
    <row r="81" spans="1:10" ht="39" customHeight="1">
      <c r="A81" s="10">
        <v>46002</v>
      </c>
      <c r="B81" s="18" t="s">
        <v>98</v>
      </c>
      <c r="C81" s="11">
        <v>119</v>
      </c>
      <c r="D81" s="11">
        <v>143</v>
      </c>
      <c r="E81" s="11">
        <v>88</v>
      </c>
      <c r="F81" s="11">
        <v>121</v>
      </c>
      <c r="G81" s="11">
        <v>99</v>
      </c>
      <c r="H81" s="11"/>
      <c r="I81" s="11">
        <v>111</v>
      </c>
    </row>
    <row r="82" spans="1:10" ht="39" customHeight="1">
      <c r="A82" s="10">
        <v>46003</v>
      </c>
      <c r="B82" s="18" t="s">
        <v>99</v>
      </c>
      <c r="C82" s="11">
        <v>105</v>
      </c>
      <c r="D82" s="11">
        <v>162</v>
      </c>
      <c r="E82" s="11">
        <v>96</v>
      </c>
      <c r="F82" s="11"/>
      <c r="G82" s="11">
        <v>96</v>
      </c>
      <c r="H82" s="11">
        <v>144</v>
      </c>
      <c r="I82" s="11">
        <v>95</v>
      </c>
    </row>
    <row r="83" spans="1:10" ht="39" customHeight="1">
      <c r="A83" s="10">
        <v>46004</v>
      </c>
      <c r="B83" s="18" t="s">
        <v>100</v>
      </c>
      <c r="C83" s="11">
        <v>103</v>
      </c>
      <c r="D83" s="11"/>
      <c r="E83" s="11"/>
      <c r="F83" s="11">
        <v>144</v>
      </c>
      <c r="G83" s="11">
        <v>85</v>
      </c>
      <c r="H83" s="11">
        <v>142</v>
      </c>
      <c r="I83" s="11">
        <v>122</v>
      </c>
    </row>
    <row r="84" spans="1:10" ht="39" customHeight="1">
      <c r="A84" s="10">
        <v>46005</v>
      </c>
      <c r="B84" s="18">
        <v>23</v>
      </c>
      <c r="C84" s="11">
        <v>112</v>
      </c>
      <c r="D84" s="11">
        <v>127</v>
      </c>
      <c r="E84" s="11">
        <v>140</v>
      </c>
      <c r="F84" s="11">
        <v>101</v>
      </c>
      <c r="G84" s="11">
        <v>99</v>
      </c>
      <c r="H84" s="11">
        <v>106</v>
      </c>
      <c r="I84" s="11">
        <v>117</v>
      </c>
    </row>
    <row r="85" spans="1:10" ht="39" customHeight="1">
      <c r="A85" s="10">
        <v>46006</v>
      </c>
      <c r="B85" s="18" t="s">
        <v>101</v>
      </c>
      <c r="C85" s="11">
        <v>106</v>
      </c>
      <c r="D85" s="11">
        <v>173</v>
      </c>
      <c r="E85" s="11">
        <v>77</v>
      </c>
      <c r="F85" s="11">
        <v>144</v>
      </c>
      <c r="G85" s="11"/>
      <c r="H85" s="11">
        <v>114</v>
      </c>
      <c r="I85" s="11">
        <v>90</v>
      </c>
    </row>
    <row r="86" spans="1:10" ht="39" customHeight="1">
      <c r="A86" s="10">
        <v>46007</v>
      </c>
      <c r="B86" s="18" t="s">
        <v>102</v>
      </c>
      <c r="C86" s="11">
        <v>99</v>
      </c>
      <c r="D86" s="11">
        <v>141</v>
      </c>
      <c r="E86" s="11">
        <v>84</v>
      </c>
      <c r="F86" s="11">
        <v>102</v>
      </c>
      <c r="G86" s="11">
        <v>98</v>
      </c>
      <c r="H86" s="11">
        <v>153</v>
      </c>
      <c r="I86" s="11"/>
    </row>
    <row r="87" spans="1:10" ht="39" customHeight="1">
      <c r="A87" s="10">
        <v>46008</v>
      </c>
      <c r="B87" s="18" t="s">
        <v>103</v>
      </c>
      <c r="C87" s="11">
        <v>96</v>
      </c>
      <c r="D87" s="11">
        <v>172</v>
      </c>
      <c r="E87" s="11">
        <v>137</v>
      </c>
      <c r="F87" s="11"/>
      <c r="G87" s="11"/>
      <c r="H87" s="11">
        <v>143</v>
      </c>
      <c r="I87" s="21">
        <v>86</v>
      </c>
      <c r="J87" s="20" t="s">
        <v>104</v>
      </c>
    </row>
    <row r="88" spans="1:10" ht="39" customHeight="1">
      <c r="A88" s="10">
        <v>46009</v>
      </c>
      <c r="B88" s="18" t="s">
        <v>105</v>
      </c>
      <c r="C88" s="11">
        <v>90</v>
      </c>
      <c r="D88" s="11">
        <v>143</v>
      </c>
      <c r="E88" s="11">
        <v>72</v>
      </c>
      <c r="F88" s="11">
        <v>143</v>
      </c>
      <c r="G88" s="11">
        <v>88</v>
      </c>
      <c r="H88" s="11">
        <v>127</v>
      </c>
      <c r="I88" s="11"/>
    </row>
    <row r="89" spans="1:10" ht="39" customHeight="1">
      <c r="A89" s="10">
        <v>46010</v>
      </c>
      <c r="B89" s="18" t="s">
        <v>106</v>
      </c>
      <c r="C89" s="11">
        <v>95</v>
      </c>
      <c r="D89" s="11">
        <v>143</v>
      </c>
      <c r="E89" s="11">
        <v>77</v>
      </c>
      <c r="F89" s="11">
        <v>91</v>
      </c>
      <c r="G89" s="11">
        <v>89</v>
      </c>
      <c r="H89" s="11">
        <v>119</v>
      </c>
      <c r="I89" s="11">
        <v>95</v>
      </c>
    </row>
    <row r="90" spans="1:10" ht="39" customHeight="1">
      <c r="A90" s="10">
        <v>46011</v>
      </c>
      <c r="B90" s="18" t="s">
        <v>107</v>
      </c>
      <c r="C90" s="11">
        <v>88</v>
      </c>
      <c r="D90" s="11">
        <v>182</v>
      </c>
      <c r="E90" s="11">
        <v>64</v>
      </c>
      <c r="F90" s="11">
        <v>136</v>
      </c>
      <c r="G90" s="11">
        <v>90</v>
      </c>
      <c r="H90" s="11">
        <v>90</v>
      </c>
      <c r="I90" s="11"/>
    </row>
    <row r="91" spans="1:10" ht="39" customHeight="1">
      <c r="A91" s="10">
        <v>46012</v>
      </c>
      <c r="B91" s="18">
        <v>24</v>
      </c>
      <c r="C91" s="11">
        <v>88</v>
      </c>
      <c r="D91" s="11">
        <v>162</v>
      </c>
      <c r="E91" s="11">
        <v>116</v>
      </c>
      <c r="F91" s="11">
        <v>113</v>
      </c>
      <c r="G91" s="11"/>
      <c r="H91" s="11"/>
      <c r="I91" s="11"/>
    </row>
    <row r="92" spans="1:10" ht="39" customHeight="1">
      <c r="A92" s="10">
        <v>46013</v>
      </c>
      <c r="B92" s="18" t="s">
        <v>108</v>
      </c>
      <c r="C92" s="11"/>
      <c r="D92" s="11">
        <v>165</v>
      </c>
      <c r="E92" s="11">
        <v>116</v>
      </c>
      <c r="F92" s="11">
        <v>113</v>
      </c>
      <c r="G92" s="11"/>
      <c r="H92" s="11"/>
      <c r="I92" s="11"/>
    </row>
    <row r="93" spans="1:10" ht="39" customHeight="1">
      <c r="A93" s="10">
        <v>46014</v>
      </c>
      <c r="B93" s="18" t="s">
        <v>109</v>
      </c>
      <c r="C93" s="11"/>
      <c r="D93" s="11">
        <v>128</v>
      </c>
      <c r="E93" s="11">
        <v>97</v>
      </c>
      <c r="F93" s="11">
        <v>121</v>
      </c>
      <c r="G93" s="11">
        <v>106</v>
      </c>
      <c r="H93" s="11"/>
      <c r="I93" s="21"/>
      <c r="J93" s="20" t="s">
        <v>110</v>
      </c>
    </row>
    <row r="94" spans="1:10" ht="39" customHeight="1">
      <c r="A94" s="10">
        <v>46015</v>
      </c>
      <c r="B94" s="18" t="s">
        <v>111</v>
      </c>
      <c r="C94" s="11">
        <v>105</v>
      </c>
      <c r="D94" s="11">
        <v>118</v>
      </c>
      <c r="E94" s="11"/>
      <c r="F94" s="11"/>
      <c r="G94" s="11">
        <v>105</v>
      </c>
      <c r="H94" s="11">
        <v>117</v>
      </c>
      <c r="I94" s="11">
        <v>117</v>
      </c>
    </row>
    <row r="95" spans="1:10" ht="39" customHeight="1">
      <c r="A95" s="10">
        <v>46016</v>
      </c>
      <c r="B95" s="18" t="s">
        <v>112</v>
      </c>
      <c r="C95" s="11">
        <v>82</v>
      </c>
      <c r="D95" s="11">
        <v>141</v>
      </c>
      <c r="E95" s="11">
        <v>124</v>
      </c>
      <c r="F95" s="11">
        <v>136</v>
      </c>
      <c r="G95" s="11"/>
      <c r="H95" s="11">
        <v>107</v>
      </c>
      <c r="I95" s="11"/>
    </row>
    <row r="96" spans="1:10" ht="39" customHeight="1">
      <c r="A96" s="10">
        <v>46017</v>
      </c>
      <c r="B96" s="18" t="s">
        <v>113</v>
      </c>
      <c r="C96" s="11">
        <v>100</v>
      </c>
      <c r="D96" s="11">
        <v>124</v>
      </c>
      <c r="E96" s="11"/>
      <c r="F96" s="11"/>
      <c r="G96" s="11">
        <v>85</v>
      </c>
      <c r="H96" s="11"/>
      <c r="I96" s="11"/>
    </row>
    <row r="97" spans="1:9" ht="39" customHeight="1">
      <c r="A97" s="10">
        <v>46018</v>
      </c>
      <c r="B97" s="18" t="s">
        <v>114</v>
      </c>
      <c r="C97" s="11"/>
      <c r="D97" s="11">
        <v>157</v>
      </c>
      <c r="E97" s="11">
        <v>109</v>
      </c>
      <c r="F97" s="11">
        <v>121</v>
      </c>
      <c r="G97" s="11"/>
      <c r="H97" s="11">
        <v>121</v>
      </c>
      <c r="I97" s="11"/>
    </row>
    <row r="98" spans="1:9" ht="39" customHeight="1">
      <c r="A98" s="10">
        <v>46019</v>
      </c>
      <c r="B98" s="18">
        <v>25</v>
      </c>
      <c r="C98" s="11">
        <v>97</v>
      </c>
      <c r="D98" s="11">
        <v>174</v>
      </c>
      <c r="E98" s="11">
        <v>126</v>
      </c>
      <c r="F98" s="11">
        <v>145</v>
      </c>
      <c r="G98" s="11">
        <v>123</v>
      </c>
      <c r="H98" s="11">
        <v>109</v>
      </c>
      <c r="I98" s="11"/>
    </row>
    <row r="99" spans="1:9" ht="39" customHeight="1">
      <c r="A99" s="10">
        <v>46020</v>
      </c>
      <c r="B99" s="18" t="s">
        <v>115</v>
      </c>
      <c r="C99" s="11">
        <v>95</v>
      </c>
      <c r="D99" s="11">
        <v>175</v>
      </c>
      <c r="E99" s="11"/>
      <c r="F99" s="11"/>
      <c r="G99" s="11"/>
      <c r="H99" s="11"/>
      <c r="I99" s="11"/>
    </row>
    <row r="100" spans="1:9" ht="39" customHeight="1">
      <c r="A100" s="10">
        <v>46021</v>
      </c>
      <c r="B100" s="18" t="s">
        <v>116</v>
      </c>
      <c r="C100" s="11"/>
      <c r="D100" s="11"/>
      <c r="E100" s="11"/>
      <c r="F100" s="11"/>
      <c r="G100" s="11"/>
      <c r="H100" s="11"/>
      <c r="I100" s="11"/>
    </row>
    <row r="101" spans="1:9" ht="39" customHeight="1">
      <c r="A101" s="10">
        <v>46022</v>
      </c>
      <c r="B101" s="18" t="s">
        <v>117</v>
      </c>
      <c r="C101" s="11"/>
      <c r="D101" s="11"/>
      <c r="E101" s="11"/>
      <c r="F101" s="11"/>
      <c r="G101" s="11"/>
      <c r="H101" s="11"/>
      <c r="I101" s="11"/>
    </row>
    <row r="102" spans="1:9" ht="39" customHeight="1">
      <c r="A102" s="10">
        <v>46023</v>
      </c>
      <c r="B102" s="18" t="s">
        <v>118</v>
      </c>
      <c r="C102" s="11"/>
      <c r="D102" s="11"/>
      <c r="E102" s="11"/>
      <c r="F102" s="11"/>
      <c r="G102" s="11"/>
      <c r="H102" s="11"/>
      <c r="I102" s="11"/>
    </row>
    <row r="103" spans="1:9" ht="39" customHeight="1">
      <c r="A103" s="10">
        <v>46024</v>
      </c>
      <c r="B103" s="18" t="s">
        <v>119</v>
      </c>
      <c r="C103" s="11"/>
      <c r="D103" s="11"/>
      <c r="E103" s="11"/>
      <c r="F103" s="11"/>
      <c r="G103" s="11"/>
      <c r="H103" s="11"/>
      <c r="I103" s="11"/>
    </row>
    <row r="104" spans="1:9" ht="39" customHeight="1">
      <c r="A104" s="10">
        <v>46025</v>
      </c>
      <c r="B104" s="18" t="s">
        <v>120</v>
      </c>
      <c r="C104" s="11"/>
      <c r="D104" s="11"/>
      <c r="E104" s="11"/>
      <c r="F104" s="11"/>
      <c r="G104" s="11"/>
      <c r="H104" s="11"/>
      <c r="I104" s="11"/>
    </row>
    <row r="105" spans="1:9" ht="39" customHeight="1">
      <c r="A105" s="10">
        <v>46026</v>
      </c>
      <c r="B105" s="18">
        <v>26</v>
      </c>
      <c r="C105" s="11"/>
      <c r="D105" s="11"/>
      <c r="E105" s="11"/>
      <c r="F105" s="11"/>
      <c r="G105" s="11"/>
      <c r="H105" s="11"/>
      <c r="I105" s="11"/>
    </row>
    <row r="106" spans="1:9" ht="39" customHeight="1">
      <c r="A106" s="10">
        <v>46027</v>
      </c>
      <c r="B106" s="18" t="s">
        <v>121</v>
      </c>
      <c r="C106" s="11"/>
      <c r="D106" s="11"/>
      <c r="E106" s="11"/>
      <c r="F106" s="11"/>
      <c r="G106" s="11"/>
      <c r="H106" s="11"/>
      <c r="I106" s="11"/>
    </row>
    <row r="107" spans="1:9" ht="39" customHeight="1">
      <c r="A107" s="10">
        <v>46028</v>
      </c>
      <c r="B107" s="18" t="s">
        <v>122</v>
      </c>
      <c r="C107" s="11"/>
      <c r="D107" s="11"/>
      <c r="E107" s="11"/>
      <c r="F107" s="11"/>
      <c r="G107" s="11"/>
      <c r="H107" s="11"/>
      <c r="I107" s="11"/>
    </row>
    <row r="108" spans="1:9" ht="39" customHeight="1">
      <c r="A108" s="10">
        <v>46029</v>
      </c>
      <c r="B108" s="18" t="s">
        <v>123</v>
      </c>
      <c r="C108" s="11"/>
      <c r="D108" s="11"/>
      <c r="E108" s="11"/>
      <c r="F108" s="11"/>
      <c r="G108" s="11"/>
      <c r="H108" s="11"/>
      <c r="I108" s="11"/>
    </row>
    <row r="109" spans="1:9" ht="39" customHeight="1">
      <c r="A109" s="10">
        <v>46030</v>
      </c>
      <c r="B109" s="18" t="s">
        <v>124</v>
      </c>
      <c r="C109" s="11"/>
      <c r="D109" s="11"/>
      <c r="E109" s="11"/>
      <c r="F109" s="11"/>
      <c r="G109" s="11"/>
      <c r="H109" s="11"/>
      <c r="I109" s="11"/>
    </row>
    <row r="110" spans="1:9" ht="39" customHeight="1">
      <c r="A110" s="10">
        <v>46031</v>
      </c>
      <c r="B110" s="18" t="s">
        <v>125</v>
      </c>
      <c r="C110" s="11"/>
      <c r="D110" s="11"/>
      <c r="E110" s="11"/>
      <c r="F110" s="11"/>
      <c r="G110" s="11"/>
      <c r="H110" s="11"/>
      <c r="I110" s="11"/>
    </row>
    <row r="111" spans="1:9" ht="39" customHeight="1">
      <c r="A111" s="10">
        <v>46032</v>
      </c>
      <c r="B111" s="18" t="s">
        <v>126</v>
      </c>
      <c r="C111" s="11"/>
      <c r="D111" s="11"/>
      <c r="E111" s="11"/>
      <c r="F111" s="11"/>
      <c r="G111" s="11"/>
      <c r="H111" s="11"/>
      <c r="I111" s="11"/>
    </row>
    <row r="112" spans="1:9" ht="39" customHeight="1">
      <c r="A112" s="10">
        <v>46033</v>
      </c>
      <c r="B112" s="18">
        <v>27</v>
      </c>
      <c r="C112" s="11"/>
      <c r="D112" s="11"/>
      <c r="E112" s="11"/>
      <c r="F112" s="11"/>
      <c r="G112" s="11"/>
      <c r="H112" s="11"/>
      <c r="I112" s="11"/>
    </row>
    <row r="113" spans="1:9" ht="39" customHeight="1">
      <c r="A113" s="10">
        <v>46034</v>
      </c>
      <c r="B113" s="18" t="s">
        <v>127</v>
      </c>
      <c r="C113" s="11"/>
      <c r="D113" s="11"/>
      <c r="E113" s="11"/>
      <c r="F113" s="11"/>
      <c r="G113" s="11"/>
      <c r="H113" s="11"/>
      <c r="I113" s="11"/>
    </row>
    <row r="114" spans="1:9" ht="39" customHeight="1">
      <c r="A114" s="10">
        <v>46035</v>
      </c>
      <c r="B114" s="18" t="s">
        <v>128</v>
      </c>
    </row>
    <row r="115" spans="1:9" ht="39" customHeight="1">
      <c r="A115" s="10">
        <v>46036</v>
      </c>
      <c r="B115" s="18" t="s">
        <v>129</v>
      </c>
    </row>
    <row r="116" spans="1:9" ht="39" customHeight="1">
      <c r="A116" s="10">
        <v>46037</v>
      </c>
      <c r="B116" s="18" t="s">
        <v>130</v>
      </c>
    </row>
    <row r="117" spans="1:9" ht="39" customHeight="1">
      <c r="A117" s="10">
        <v>46038</v>
      </c>
      <c r="B117" s="18" t="s">
        <v>131</v>
      </c>
    </row>
    <row r="118" spans="1:9" ht="39" customHeight="1">
      <c r="A118" s="10">
        <v>46039</v>
      </c>
      <c r="B118" s="18" t="s">
        <v>132</v>
      </c>
    </row>
    <row r="119" spans="1:9" ht="39" customHeight="1">
      <c r="A119" s="10">
        <v>46040</v>
      </c>
      <c r="B119" s="18">
        <v>28</v>
      </c>
    </row>
    <row r="120" spans="1:9" ht="39" customHeight="1">
      <c r="A120" s="10">
        <v>46041</v>
      </c>
      <c r="B120" s="18" t="s">
        <v>133</v>
      </c>
    </row>
    <row r="121" spans="1:9" ht="39" customHeight="1">
      <c r="A121" s="10">
        <v>46042</v>
      </c>
      <c r="B121" s="18" t="s">
        <v>134</v>
      </c>
    </row>
    <row r="122" spans="1:9" ht="39" customHeight="1">
      <c r="A122" s="10">
        <v>46043</v>
      </c>
      <c r="B122" s="18" t="s">
        <v>135</v>
      </c>
    </row>
    <row r="123" spans="1:9" ht="39" customHeight="1">
      <c r="A123" s="10">
        <v>46044</v>
      </c>
      <c r="B123" s="18" t="s">
        <v>136</v>
      </c>
    </row>
    <row r="124" spans="1:9" ht="39" customHeight="1">
      <c r="A124" s="10">
        <v>46045</v>
      </c>
      <c r="B124" s="18" t="s">
        <v>137</v>
      </c>
    </row>
    <row r="125" spans="1:9" ht="39" customHeight="1">
      <c r="A125" s="10">
        <v>46046</v>
      </c>
      <c r="B125" s="18" t="s">
        <v>138</v>
      </c>
    </row>
    <row r="126" spans="1:9" ht="39" customHeight="1">
      <c r="A126" s="10">
        <v>46047</v>
      </c>
      <c r="B126" s="18">
        <v>29</v>
      </c>
    </row>
    <row r="127" spans="1:9" ht="39" customHeight="1">
      <c r="A127" s="10">
        <v>46048</v>
      </c>
      <c r="B127" s="18" t="s">
        <v>139</v>
      </c>
    </row>
    <row r="128" spans="1:9" ht="39" customHeight="1">
      <c r="A128" s="10">
        <v>46049</v>
      </c>
      <c r="B128" s="18" t="s">
        <v>140</v>
      </c>
    </row>
    <row r="129" spans="1:2" ht="39" customHeight="1">
      <c r="A129" s="10">
        <v>46050</v>
      </c>
      <c r="B129" s="18" t="s">
        <v>141</v>
      </c>
    </row>
    <row r="130" spans="1:2" ht="39" customHeight="1">
      <c r="A130" s="10">
        <v>46051</v>
      </c>
      <c r="B130" s="18" t="s">
        <v>142</v>
      </c>
    </row>
    <row r="131" spans="1:2" ht="39" customHeight="1">
      <c r="A131" s="10">
        <v>46052</v>
      </c>
      <c r="B131" s="18" t="s">
        <v>143</v>
      </c>
    </row>
    <row r="132" spans="1:2" ht="39" customHeight="1">
      <c r="A132" s="10">
        <v>46053</v>
      </c>
      <c r="B132" s="18" t="s">
        <v>144</v>
      </c>
    </row>
    <row r="133" spans="1:2" ht="39" customHeight="1">
      <c r="A133" s="10">
        <v>46054</v>
      </c>
      <c r="B133" s="18">
        <v>30</v>
      </c>
    </row>
    <row r="134" spans="1:2" ht="39" customHeight="1">
      <c r="A134" s="10">
        <v>46055</v>
      </c>
      <c r="B134" s="18" t="s">
        <v>145</v>
      </c>
    </row>
    <row r="135" spans="1:2" ht="39" customHeight="1">
      <c r="A135" s="10">
        <v>46056</v>
      </c>
      <c r="B135" s="18" t="s">
        <v>146</v>
      </c>
    </row>
    <row r="136" spans="1:2" ht="39" customHeight="1">
      <c r="A136" s="10">
        <v>46057</v>
      </c>
      <c r="B136" s="18" t="s">
        <v>147</v>
      </c>
    </row>
    <row r="137" spans="1:2" ht="39" customHeight="1">
      <c r="A137" s="10">
        <v>46058</v>
      </c>
      <c r="B137" s="18" t="s">
        <v>148</v>
      </c>
    </row>
    <row r="138" spans="1:2" ht="39" customHeight="1">
      <c r="A138" s="10">
        <v>46059</v>
      </c>
      <c r="B138" s="18" t="s">
        <v>149</v>
      </c>
    </row>
    <row r="139" spans="1:2" ht="39" customHeight="1">
      <c r="A139" s="10">
        <v>46060</v>
      </c>
      <c r="B139" s="18" t="s">
        <v>150</v>
      </c>
    </row>
    <row r="140" spans="1:2" ht="39" customHeight="1">
      <c r="A140" s="10">
        <v>46061</v>
      </c>
      <c r="B140" s="18">
        <v>31</v>
      </c>
    </row>
    <row r="141" spans="1:2" ht="39" customHeight="1">
      <c r="A141" s="10">
        <v>46062</v>
      </c>
      <c r="B141" s="18" t="s">
        <v>151</v>
      </c>
    </row>
    <row r="142" spans="1:2" ht="39" customHeight="1">
      <c r="A142" s="10">
        <v>46063</v>
      </c>
      <c r="B142" s="18" t="s">
        <v>152</v>
      </c>
    </row>
    <row r="143" spans="1:2" ht="39" customHeight="1">
      <c r="A143" s="10">
        <v>46064</v>
      </c>
      <c r="B143" s="18" t="s">
        <v>153</v>
      </c>
    </row>
    <row r="144" spans="1:2" ht="39" customHeight="1">
      <c r="A144" s="10">
        <v>46065</v>
      </c>
      <c r="B144" s="18" t="s">
        <v>154</v>
      </c>
    </row>
    <row r="145" spans="1:2" ht="39" customHeight="1">
      <c r="A145" s="10">
        <v>46066</v>
      </c>
      <c r="B145" s="18" t="s">
        <v>155</v>
      </c>
    </row>
    <row r="146" spans="1:2" ht="39" customHeight="1">
      <c r="A146" s="10">
        <v>46067</v>
      </c>
      <c r="B146" s="18" t="s">
        <v>156</v>
      </c>
    </row>
    <row r="147" spans="1:2" ht="39" customHeight="1">
      <c r="A147" s="10">
        <v>46068</v>
      </c>
      <c r="B147" s="18">
        <v>32</v>
      </c>
    </row>
    <row r="148" spans="1:2" ht="39" customHeight="1">
      <c r="A148" s="10">
        <v>46069</v>
      </c>
      <c r="B148" s="18" t="s">
        <v>157</v>
      </c>
    </row>
    <row r="149" spans="1:2" ht="39" customHeight="1">
      <c r="A149" s="10">
        <v>46070</v>
      </c>
      <c r="B149" s="18" t="s">
        <v>158</v>
      </c>
    </row>
    <row r="150" spans="1:2" ht="39" customHeight="1">
      <c r="A150" s="10">
        <v>46071</v>
      </c>
      <c r="B150" s="18" t="s">
        <v>159</v>
      </c>
    </row>
    <row r="151" spans="1:2" ht="39" customHeight="1">
      <c r="A151" s="10">
        <v>46072</v>
      </c>
      <c r="B151" s="18" t="s">
        <v>160</v>
      </c>
    </row>
    <row r="152" spans="1:2" ht="39" customHeight="1">
      <c r="A152" s="10">
        <v>46073</v>
      </c>
      <c r="B152" s="18" t="s">
        <v>161</v>
      </c>
    </row>
    <row r="153" spans="1:2" ht="39" customHeight="1">
      <c r="A153" s="10">
        <v>46074</v>
      </c>
      <c r="B153" s="18" t="s">
        <v>162</v>
      </c>
    </row>
    <row r="154" spans="1:2" ht="39" customHeight="1">
      <c r="A154" s="10">
        <v>46075</v>
      </c>
      <c r="B154" s="18">
        <v>33</v>
      </c>
    </row>
    <row r="155" spans="1:2" ht="39" customHeight="1">
      <c r="A155" s="10">
        <v>46076</v>
      </c>
      <c r="B155" s="18" t="s">
        <v>163</v>
      </c>
    </row>
    <row r="156" spans="1:2" ht="39" customHeight="1">
      <c r="A156" s="10">
        <v>46077</v>
      </c>
      <c r="B156" s="18" t="s">
        <v>164</v>
      </c>
    </row>
    <row r="157" spans="1:2" ht="39" customHeight="1">
      <c r="A157" s="10">
        <v>46078</v>
      </c>
      <c r="B157" s="18" t="s">
        <v>165</v>
      </c>
    </row>
    <row r="158" spans="1:2" ht="39" customHeight="1">
      <c r="A158" s="10">
        <v>46079</v>
      </c>
      <c r="B158" s="18" t="s">
        <v>166</v>
      </c>
    </row>
    <row r="159" spans="1:2" ht="39" customHeight="1">
      <c r="A159" s="10">
        <v>46080</v>
      </c>
      <c r="B159" s="18" t="s">
        <v>167</v>
      </c>
    </row>
    <row r="160" spans="1:2" ht="39" customHeight="1">
      <c r="A160" s="10">
        <v>46081</v>
      </c>
      <c r="B160" s="18" t="s">
        <v>168</v>
      </c>
    </row>
    <row r="161" spans="1:2" ht="39" customHeight="1">
      <c r="A161" s="10">
        <v>46082</v>
      </c>
      <c r="B161" s="18">
        <v>34</v>
      </c>
    </row>
    <row r="162" spans="1:2" ht="39" customHeight="1">
      <c r="A162" s="10">
        <v>46083</v>
      </c>
      <c r="B162" s="18" t="s">
        <v>169</v>
      </c>
    </row>
    <row r="163" spans="1:2" ht="39" customHeight="1">
      <c r="A163" s="10">
        <v>46084</v>
      </c>
      <c r="B163" s="18" t="s">
        <v>170</v>
      </c>
    </row>
    <row r="164" spans="1:2" ht="39" customHeight="1">
      <c r="A164" s="10">
        <v>46085</v>
      </c>
      <c r="B164" s="18" t="s">
        <v>171</v>
      </c>
    </row>
    <row r="165" spans="1:2" ht="39" customHeight="1">
      <c r="A165" s="10">
        <v>46086</v>
      </c>
      <c r="B165" s="18" t="s">
        <v>172</v>
      </c>
    </row>
    <row r="166" spans="1:2" ht="39" customHeight="1">
      <c r="A166" s="10">
        <v>46087</v>
      </c>
      <c r="B166" s="18" t="s">
        <v>173</v>
      </c>
    </row>
    <row r="167" spans="1:2" ht="39" customHeight="1">
      <c r="A167" s="10">
        <v>46088</v>
      </c>
      <c r="B167" s="18" t="s">
        <v>174</v>
      </c>
    </row>
    <row r="168" spans="1:2" ht="39" customHeight="1">
      <c r="A168" s="10">
        <v>46089</v>
      </c>
      <c r="B168" s="18">
        <v>35</v>
      </c>
    </row>
    <row r="169" spans="1:2" ht="39" customHeight="1">
      <c r="A169" s="10">
        <v>46090</v>
      </c>
      <c r="B169" s="18" t="s">
        <v>175</v>
      </c>
    </row>
    <row r="170" spans="1:2" ht="39" customHeight="1">
      <c r="A170" s="10">
        <v>46091</v>
      </c>
      <c r="B170" s="18" t="s">
        <v>176</v>
      </c>
    </row>
    <row r="171" spans="1:2" ht="39" customHeight="1">
      <c r="A171" s="10">
        <v>46092</v>
      </c>
      <c r="B171" s="18" t="s">
        <v>177</v>
      </c>
    </row>
    <row r="172" spans="1:2" ht="39" customHeight="1">
      <c r="A172" s="10">
        <v>46093</v>
      </c>
      <c r="B172" s="18" t="s">
        <v>178</v>
      </c>
    </row>
    <row r="173" spans="1:2" ht="39" customHeight="1">
      <c r="A173" s="10">
        <v>46094</v>
      </c>
      <c r="B173" s="18" t="s">
        <v>179</v>
      </c>
    </row>
    <row r="174" spans="1:2" ht="39" customHeight="1">
      <c r="A174" s="10">
        <v>46095</v>
      </c>
      <c r="B174" s="18" t="s">
        <v>180</v>
      </c>
    </row>
    <row r="175" spans="1:2" ht="39" customHeight="1">
      <c r="A175" s="10">
        <v>46096</v>
      </c>
      <c r="B175" s="18">
        <v>36</v>
      </c>
    </row>
    <row r="176" spans="1:2" ht="39" customHeight="1">
      <c r="A176" s="10">
        <v>46097</v>
      </c>
      <c r="B176" s="18" t="s">
        <v>181</v>
      </c>
    </row>
    <row r="177" spans="1:2" ht="39" customHeight="1">
      <c r="A177" s="10">
        <v>46098</v>
      </c>
      <c r="B177" s="18" t="s">
        <v>182</v>
      </c>
    </row>
    <row r="178" spans="1:2" ht="39" customHeight="1">
      <c r="A178" s="10">
        <v>46099</v>
      </c>
      <c r="B178" s="18" t="s">
        <v>183</v>
      </c>
    </row>
    <row r="179" spans="1:2" ht="39" customHeight="1">
      <c r="A179" s="10">
        <v>46100</v>
      </c>
      <c r="B179" s="18" t="s">
        <v>184</v>
      </c>
    </row>
    <row r="180" spans="1:2" ht="39" customHeight="1">
      <c r="A180" s="10">
        <v>46101</v>
      </c>
      <c r="B180" s="18" t="s">
        <v>185</v>
      </c>
    </row>
    <row r="181" spans="1:2" ht="39" customHeight="1">
      <c r="A181" s="10">
        <v>46102</v>
      </c>
      <c r="B181" s="18" t="s">
        <v>186</v>
      </c>
    </row>
    <row r="182" spans="1:2" ht="39" customHeight="1">
      <c r="A182" s="10">
        <v>46103</v>
      </c>
      <c r="B182" s="18">
        <v>37</v>
      </c>
    </row>
    <row r="183" spans="1:2" ht="39" customHeight="1">
      <c r="A183" s="10">
        <v>46104</v>
      </c>
      <c r="B183" s="18" t="s">
        <v>187</v>
      </c>
    </row>
    <row r="184" spans="1:2" ht="39" customHeight="1">
      <c r="A184" s="10">
        <v>46105</v>
      </c>
      <c r="B184" s="18" t="s">
        <v>188</v>
      </c>
    </row>
    <row r="185" spans="1:2" ht="39" customHeight="1">
      <c r="A185" s="10">
        <v>46106</v>
      </c>
      <c r="B185" s="18" t="s">
        <v>189</v>
      </c>
    </row>
    <row r="186" spans="1:2" ht="39" customHeight="1">
      <c r="A186" s="10">
        <v>46107</v>
      </c>
      <c r="B186" s="18" t="s">
        <v>190</v>
      </c>
    </row>
    <row r="187" spans="1:2" ht="39" customHeight="1">
      <c r="A187" s="10">
        <v>46108</v>
      </c>
      <c r="B187" s="18" t="s">
        <v>191</v>
      </c>
    </row>
    <row r="188" spans="1:2" ht="39" customHeight="1">
      <c r="A188" s="10">
        <v>46109</v>
      </c>
      <c r="B188" s="18" t="s">
        <v>192</v>
      </c>
    </row>
    <row r="189" spans="1:2" ht="39" customHeight="1">
      <c r="A189" s="10">
        <v>46110</v>
      </c>
      <c r="B189" s="18">
        <v>38</v>
      </c>
    </row>
    <row r="190" spans="1:2" ht="39" customHeight="1">
      <c r="A190" s="10">
        <v>46111</v>
      </c>
      <c r="B190" s="18" t="s">
        <v>193</v>
      </c>
    </row>
    <row r="191" spans="1:2" ht="39" customHeight="1">
      <c r="A191" s="10">
        <v>46112</v>
      </c>
      <c r="B191" s="18" t="s">
        <v>194</v>
      </c>
    </row>
    <row r="192" spans="1:2" ht="39" customHeight="1">
      <c r="A192" s="10">
        <v>46113</v>
      </c>
      <c r="B192" s="18" t="s">
        <v>195</v>
      </c>
    </row>
    <row r="193" spans="1:2" ht="39" customHeight="1">
      <c r="A193" s="10">
        <v>46114</v>
      </c>
      <c r="B193" s="18" t="s">
        <v>196</v>
      </c>
    </row>
    <row r="194" spans="1:2" ht="39" customHeight="1">
      <c r="A194" s="10">
        <v>46115</v>
      </c>
      <c r="B194" s="18" t="s">
        <v>197</v>
      </c>
    </row>
    <row r="195" spans="1:2" ht="39" customHeight="1">
      <c r="A195" s="10">
        <v>46116</v>
      </c>
      <c r="B195" s="18" t="s">
        <v>198</v>
      </c>
    </row>
    <row r="196" spans="1:2" ht="39" customHeight="1">
      <c r="A196" s="10">
        <v>46117</v>
      </c>
      <c r="B196" s="18">
        <v>39</v>
      </c>
    </row>
    <row r="197" spans="1:2" ht="39" customHeight="1">
      <c r="A197" s="10">
        <v>46118</v>
      </c>
      <c r="B197" s="18" t="s">
        <v>199</v>
      </c>
    </row>
    <row r="198" spans="1:2" ht="39" customHeight="1">
      <c r="A198" s="10">
        <v>46119</v>
      </c>
      <c r="B198" s="18" t="s">
        <v>200</v>
      </c>
    </row>
    <row r="199" spans="1:2" ht="39" customHeight="1">
      <c r="A199" s="10">
        <v>46120</v>
      </c>
      <c r="B199" s="18" t="s">
        <v>201</v>
      </c>
    </row>
    <row r="200" spans="1:2" ht="39" customHeight="1">
      <c r="A200" s="10">
        <v>46121</v>
      </c>
      <c r="B200" s="18" t="s">
        <v>202</v>
      </c>
    </row>
    <row r="201" spans="1:2" ht="39" customHeight="1">
      <c r="A201" s="10">
        <v>46122</v>
      </c>
      <c r="B201" s="18" t="s">
        <v>203</v>
      </c>
    </row>
    <row r="202" spans="1:2" ht="39" customHeight="1">
      <c r="A202" s="10">
        <v>46123</v>
      </c>
      <c r="B202" s="18" t="s">
        <v>204</v>
      </c>
    </row>
    <row r="203" spans="1:2" ht="39" customHeight="1">
      <c r="A203" s="10">
        <v>46124</v>
      </c>
      <c r="B203" s="18">
        <v>40</v>
      </c>
    </row>
    <row r="204" spans="1:2" ht="39" customHeight="1"/>
    <row r="205" spans="1:2" ht="39" customHeight="1"/>
    <row r="206" spans="1:2" ht="39" customHeight="1"/>
    <row r="207" spans="1:2" ht="39" customHeight="1"/>
    <row r="208" spans="1:2" ht="39" customHeight="1"/>
    <row r="209" ht="39" customHeight="1"/>
    <row r="210" ht="39" customHeight="1"/>
    <row r="211" ht="39" customHeight="1"/>
    <row r="212" ht="39" customHeight="1"/>
    <row r="213" ht="39" customHeight="1"/>
    <row r="214" ht="39" customHeight="1"/>
    <row r="215" ht="39" customHeight="1"/>
    <row r="216" ht="39" customHeight="1"/>
    <row r="217" ht="39" customHeight="1"/>
    <row r="218" ht="39" customHeight="1"/>
    <row r="219" ht="39" customHeight="1"/>
    <row r="220" ht="39" customHeight="1"/>
    <row r="221" ht="39" customHeight="1"/>
    <row r="222" ht="39" customHeight="1"/>
    <row r="223" ht="39" customHeight="1"/>
    <row r="224" ht="39" customHeight="1"/>
    <row r="225" ht="39" customHeight="1"/>
    <row r="226" ht="39" customHeight="1"/>
    <row r="227" ht="39" customHeight="1"/>
    <row r="228" ht="39" customHeight="1"/>
    <row r="229" ht="39" customHeight="1"/>
    <row r="230" ht="39" customHeight="1"/>
    <row r="231" ht="39" customHeight="1"/>
    <row r="232" ht="39" customHeight="1"/>
    <row r="233" ht="39" customHeight="1"/>
    <row r="234" ht="39" customHeight="1"/>
    <row r="235" ht="39" customHeight="1"/>
    <row r="236" ht="39" customHeight="1"/>
    <row r="237" ht="39" customHeight="1"/>
    <row r="238" ht="39" customHeight="1"/>
    <row r="239" ht="39" customHeight="1"/>
    <row r="240" ht="39" customHeight="1"/>
    <row r="241" ht="39" customHeight="1"/>
    <row r="242" ht="39" customHeight="1"/>
    <row r="243" ht="39" customHeight="1"/>
    <row r="244" ht="39" customHeight="1"/>
    <row r="245" ht="39" customHeight="1"/>
    <row r="246" ht="39" customHeight="1"/>
    <row r="247" ht="39" customHeight="1"/>
    <row r="248" ht="39" customHeight="1"/>
    <row r="249" ht="39" customHeight="1"/>
    <row r="250" ht="39" customHeight="1"/>
    <row r="251" ht="39" customHeight="1"/>
    <row r="252" ht="39" customHeight="1"/>
    <row r="253" ht="39" customHeight="1"/>
    <row r="254" ht="39" customHeight="1"/>
    <row r="255" ht="39" customHeight="1"/>
    <row r="256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  <row r="729" ht="39" customHeight="1"/>
    <row r="730" ht="39" customHeight="1"/>
    <row r="731" ht="39" customHeight="1"/>
    <row r="732" ht="39" customHeight="1"/>
    <row r="733" ht="39" customHeight="1"/>
    <row r="734" ht="39" customHeight="1"/>
    <row r="735" ht="39" customHeight="1"/>
    <row r="736" ht="39" customHeight="1"/>
    <row r="737" ht="39" customHeight="1"/>
    <row r="738" ht="39" customHeight="1"/>
    <row r="739" ht="39" customHeight="1"/>
    <row r="740" ht="39" customHeight="1"/>
    <row r="741" ht="39" customHeight="1"/>
    <row r="742" ht="39" customHeight="1"/>
    <row r="743" ht="39" customHeight="1"/>
    <row r="744" ht="39" customHeight="1"/>
    <row r="745" ht="39" customHeight="1"/>
    <row r="746" ht="39" customHeight="1"/>
    <row r="747" ht="39" customHeight="1"/>
    <row r="748" ht="39" customHeight="1"/>
    <row r="749" ht="39" customHeight="1"/>
    <row r="750" ht="39" customHeight="1"/>
    <row r="751" ht="39" customHeight="1"/>
    <row r="752" ht="39" customHeight="1"/>
    <row r="753" ht="39" customHeight="1"/>
    <row r="754" ht="39" customHeight="1"/>
    <row r="755" ht="39" customHeight="1"/>
    <row r="756" ht="39" customHeight="1"/>
    <row r="757" ht="39" customHeight="1"/>
    <row r="758" ht="39" customHeight="1"/>
    <row r="759" ht="39" customHeight="1"/>
    <row r="760" ht="39" customHeight="1"/>
    <row r="761" ht="39" customHeight="1"/>
    <row r="762" ht="39" customHeight="1"/>
    <row r="763" ht="39" customHeight="1"/>
    <row r="764" ht="39" customHeight="1"/>
    <row r="765" ht="39" customHeight="1"/>
    <row r="766" ht="39" customHeight="1"/>
    <row r="767" ht="39" customHeight="1"/>
    <row r="768" ht="39" customHeight="1"/>
    <row r="769" ht="39" customHeight="1"/>
    <row r="770" ht="39" customHeight="1"/>
    <row r="771" ht="39" customHeight="1"/>
    <row r="772" ht="39" customHeight="1"/>
    <row r="773" ht="39" customHeight="1"/>
    <row r="774" ht="39" customHeight="1"/>
    <row r="775" ht="39" customHeight="1"/>
    <row r="776" ht="39" customHeight="1"/>
    <row r="777" ht="39" customHeight="1"/>
    <row r="778" ht="39" customHeight="1"/>
    <row r="779" ht="39" customHeight="1"/>
    <row r="780" ht="39" customHeight="1"/>
    <row r="781" ht="39" customHeight="1"/>
    <row r="782" ht="39" customHeight="1"/>
    <row r="783" ht="39" customHeight="1"/>
    <row r="784" ht="39" customHeight="1"/>
    <row r="785" ht="39" customHeight="1"/>
    <row r="786" ht="39" customHeight="1"/>
    <row r="787" ht="39" customHeight="1"/>
    <row r="788" ht="39" customHeight="1"/>
    <row r="789" ht="39" customHeight="1"/>
    <row r="790" ht="39" customHeight="1"/>
    <row r="791" ht="39" customHeight="1"/>
    <row r="792" ht="39" customHeight="1"/>
  </sheetData>
  <mergeCells count="1">
    <mergeCell ref="B1:H1"/>
  </mergeCells>
  <conditionalFormatting sqref="I1 D2:I44 D50:I1048576 D45:F49 H45:I49 G45:G48">
    <cfRule type="cellIs" dxfId="5" priority="5" operator="lessThan">
      <formula>70</formula>
    </cfRule>
    <cfRule type="cellIs" dxfId="4" priority="6" operator="greaterThan">
      <formula>139</formula>
    </cfRule>
  </conditionalFormatting>
  <conditionalFormatting sqref="C2:C1048576">
    <cfRule type="cellIs" dxfId="3" priority="7" operator="lessThan">
      <formula>70</formula>
    </cfRule>
    <cfRule type="cellIs" dxfId="2" priority="8" operator="greaterThan">
      <formula>94</formula>
    </cfRule>
  </conditionalFormatting>
  <conditionalFormatting sqref="E2:E1048576 G50:G792 G2:G48">
    <cfRule type="cellIs" dxfId="1" priority="3" stopIfTrue="1" operator="greaterThan">
      <formula>99</formula>
    </cfRule>
  </conditionalFormatting>
  <conditionalFormatting sqref="I1:I792">
    <cfRule type="cellIs" dxfId="0" priority="1" stopIfTrue="1" operator="greaterThan">
      <formula>99</formula>
    </cfRule>
  </conditionalFormatting>
  <pageMargins left="0" right="0" top="0" bottom="0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Normal="100" workbookViewId="0">
      <selection activeCell="A8" sqref="A8"/>
    </sheetView>
  </sheetViews>
  <sheetFormatPr defaultColWidth="16.42578125" defaultRowHeight="12.75"/>
  <sheetData>
    <row r="1" spans="1:12" ht="51" customHeight="1">
      <c r="A1" s="13" t="s">
        <v>205</v>
      </c>
      <c r="B1" s="14" t="s">
        <v>206</v>
      </c>
      <c r="C1" s="14" t="s">
        <v>207</v>
      </c>
      <c r="D1" s="14" t="s">
        <v>208</v>
      </c>
      <c r="E1" s="13" t="s">
        <v>209</v>
      </c>
      <c r="F1" s="13" t="s">
        <v>210</v>
      </c>
      <c r="G1" s="14" t="s">
        <v>211</v>
      </c>
      <c r="H1" s="14" t="s">
        <v>212</v>
      </c>
      <c r="I1" s="14" t="s">
        <v>213</v>
      </c>
      <c r="J1" s="14" t="s">
        <v>214</v>
      </c>
      <c r="K1" s="14" t="s">
        <v>215</v>
      </c>
      <c r="L1" s="14" t="s">
        <v>216</v>
      </c>
    </row>
    <row r="2" spans="1:12" ht="61.5" customHeight="1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Carolina Nogueira Bernardes</cp:lastModifiedBy>
  <cp:revision>1197</cp:revision>
  <dcterms:created xsi:type="dcterms:W3CDTF">2019-05-23T12:46:50Z</dcterms:created>
  <dcterms:modified xsi:type="dcterms:W3CDTF">2025-12-29T13:24:16Z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ProgId">
    <vt:lpwstr>Excel.Sheet</vt:lpwstr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